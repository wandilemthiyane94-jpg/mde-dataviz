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Existing TRAs" sheetId="2" state="visible" r:id="rId4"/>
    <sheet name="Closed, planned &amp; contex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<sst xmlns="http://schemas.openxmlformats.org/spreadsheetml/2006/main" count="1164" uniqueCount="675">
  <si>
    <t xml:space="preserve">Temporary Relocation Areas (TRAs) in South Africa – compiled from 2022–2026 online sources</t>
  </si>
  <si>
    <t xml:space="preserve">Compiled 27 Sep 2026. Includes TRAs, transit camps, TRUs and temporary emergency accommodation (TEA) sites. Coordinates are estimates from named landmarks unless marked 'Published'.</t>
  </si>
  <si>
    <t xml:space="preserve">Province</t>
  </si>
  <si>
    <t xml:space="preserve">Sites listed</t>
  </si>
  <si>
    <t xml:space="preserve">Active / active-variant</t>
  </si>
  <si>
    <t xml:space="preserve">Uncertain status</t>
  </si>
  <si>
    <t xml:space="preserve">Western Cape</t>
  </si>
  <si>
    <t xml:space="preserve">KwaZulu-Natal</t>
  </si>
  <si>
    <t xml:space="preserve">Gauteng</t>
  </si>
  <si>
    <t xml:space="preserve">Eastern Cape</t>
  </si>
  <si>
    <t xml:space="preserve">Free State</t>
  </si>
  <si>
    <t xml:space="preserve">Northern Cape</t>
  </si>
  <si>
    <t xml:space="preserve">North West</t>
  </si>
  <si>
    <t xml:space="preserve">Limpopo</t>
  </si>
  <si>
    <t xml:space="preserve">Mpumalanga</t>
  </si>
  <si>
    <t xml:space="preserve">Total</t>
  </si>
  <si>
    <t xml:space="preserve">Key caveats</t>
  </si>
  <si>
    <t xml:space="preserve">• No official national or municipal inventory of TRAs is published. Cape Town's own plans define 'Incremental Development Areas' but name no sites; the Constitutional Court (Bromwell St, Dec 2024) noted the City gave no inventory.</t>
  </si>
  <si>
    <t xml:space="preserve">• eThekwini reported 71–72 legacy transit camps (built mainly 2008–2010); ~40–42 remained in 2024, target to clear by end-2026. Most camp names are not published – only those in the news are listed here.</t>
  </si>
  <si>
    <t xml:space="preserve">• KZN built ~1,766 Temporary Residential Units (TRUs) after the April 2022 floods, mostly single units on families' own plots (not camps). KSD (Mthatha) similarly placed 1,000+ in-situ TRUs after the June 2025 floods.</t>
  </si>
  <si>
    <t xml:space="preserve">• No named TRA sites were found in 2022–26 sources for Free State, Northern Cape, North West, Limpopo or Mpumalanga. This reflects limited coverage, not proof that none exist.</t>
  </si>
  <si>
    <t xml:space="preserve">• Research stopped when the session's web-search limit was reached; some candidate sites were not checked (e.g. Cape Town: Kosovo, Sweet Home Farm, Driftsands, Freedom Park, Leonsdale, Nooiensfontein, Masiphumelele; Durban: Richmond Farm, Siyanda, Cato Crest, Welbedacht; Gauteng: Ennerdale, Lehae, Orange Farm, Emfuleni, Mogale).</t>
  </si>
  <si>
    <t xml:space="preserve">• Suggested next steps for completeness: PAIA request to municipalities for TRA/IDA/transit-camp lists; eThekwini Human Settlements committee reports; KZN DoHS Annual Performance Plan; WC Provincial Parliament written replies; SAHRC Western Cape TRA engagement (Feb 2025).</t>
  </si>
  <si>
    <t xml:space="preserve">• Rows marked [Verified] were re-checked against the source during compilation.</t>
  </si>
  <si>
    <t xml:space="preserve">#</t>
  </si>
  <si>
    <t xml:space="preserve">Municipality</t>
  </si>
  <si>
    <t xml:space="preserve">Site name / aliases</t>
  </si>
  <si>
    <t xml:space="preserve">Type</t>
  </si>
  <si>
    <t xml:space="preserve">Suburb / landmark</t>
  </si>
  <si>
    <t xml:space="preserve">Approx. latitude</t>
  </si>
  <si>
    <t xml:space="preserve">Approx. longitude</t>
  </si>
  <si>
    <t xml:space="preserve">Coordinate confidence</t>
  </si>
  <si>
    <t xml:space="preserve">Established</t>
  </si>
  <si>
    <t xml:space="preserve">Size (households / units)</t>
  </si>
  <si>
    <t xml:space="preserve">Status</t>
  </si>
  <si>
    <t xml:space="preserve">Status detail (latest source)</t>
  </si>
  <si>
    <t xml:space="preserve">Latest source date</t>
  </si>
  <si>
    <t xml:space="preserve">Source 1</t>
  </si>
  <si>
    <t xml:space="preserve">Source 2</t>
  </si>
  <si>
    <t xml:space="preserve">City of Cape Town</t>
  </si>
  <si>
    <t xml:space="preserve">Blikkiesdorp (Symphony Way TRA)</t>
  </si>
  <si>
    <t xml:space="preserve">TRA</t>
  </si>
  <si>
    <t xml:space="preserve">Delft, Symphony Way, next to Cape Town Intl Airport</t>
  </si>
  <si>
    <t xml:space="preserve">Published (Wikipedia)</t>
  </si>
  <si>
    <t xml:space="preserve">2007</t>
  </si>
  <si>
    <t xml:space="preserve">~1,600 zinc units built; ~1,300 dwellings (2026)</t>
  </si>
  <si>
    <t xml:space="preserve">Active</t>
  </si>
  <si>
    <t xml:space="preserve">Symphony Way housing project (~3,500 units for Blikkiesdorp, Malawi Camp, Freedom Farm) resumed Mar 2025; some residents moved to subsidy houses.</t>
  </si>
  <si>
    <t xml:space="preserve">2026-07-07</t>
  </si>
  <si>
    <t xml:space="preserve">https://capeargus.co.za/news/2026-07-07-blikkiesdorp-19-years-of-unfulfilled-housing-promises-for-residents/</t>
  </si>
  <si>
    <t xml:space="preserve">https://www.ewn.co.za/2025/03/10/blikkiesdorp-malawi-camp-freedom-farm-residents-excited-to-see-symphony-way-housing-project-resume</t>
  </si>
  <si>
    <t xml:space="preserve">City of Cape Town (provincial site)</t>
  </si>
  <si>
    <t xml:space="preserve">Delft TRA 5 / 5.1</t>
  </si>
  <si>
    <t xml:space="preserve">TRA (N2 Gateway)</t>
  </si>
  <si>
    <t xml:space="preserve">Delft, N2 Gateway Phase 1</t>
  </si>
  <si>
    <t xml:space="preserve">Estimated (±1–3 km)</t>
  </si>
  <si>
    <t xml:space="preserve">2010</t>
  </si>
  <si>
    <t xml:space="preserve">1,095 units (~1,070 occupied)</t>
  </si>
  <si>
    <t xml:space="preserve">Still occupied after 16 years; flooding and sanitation failures reported Jul 2026. Run by Western Cape Govt.</t>
  </si>
  <si>
    <t xml:space="preserve">2026-07</t>
  </si>
  <si>
    <t xml:space="preserve">https://www.2oceansvibe.com/politics/mnqasela-tra5-housing-wait-july-2026/</t>
  </si>
  <si>
    <t xml:space="preserve">https://www.wcpp.gov.za/?q=node/11843</t>
  </si>
  <si>
    <t xml:space="preserve">Delft TRA 6</t>
  </si>
  <si>
    <t xml:space="preserve">Delft, linked to Joe Slovo / N2 Gateway</t>
  </si>
  <si>
    <t xml:space="preserve">2013</t>
  </si>
  <si>
    <t xml:space="preserve">423 units (~374 occupied)</t>
  </si>
  <si>
    <t xml:space="preserve">Used as receiving TRA for Southern Corridor programme (2022). Run by Western Cape Govt.</t>
  </si>
  <si>
    <t xml:space="preserve">2022-05-08</t>
  </si>
  <si>
    <t xml:space="preserve">https://iol.co.za/weekend-argus/news/2022-05-08-temporary-housing-rented-out-by-occupants-for-r1-000/</t>
  </si>
  <si>
    <t xml:space="preserve">Tsunami (former TRA)</t>
  </si>
  <si>
    <t xml:space="preserve">Former TRA, now informal settlement</t>
  </si>
  <si>
    <t xml:space="preserve">Delft, next to Delft TRAs</t>
  </si>
  <si>
    <t xml:space="preserve">c. 2005–08 (unconfirmed)</t>
  </si>
  <si>
    <t xml:space="preserve">~1,700 shacks (2025)</t>
  </si>
  <si>
    <t xml:space="preserve">Development planned; residents resisting relocation (Sep 2025).</t>
  </si>
  <si>
    <t xml:space="preserve">2025-09-12</t>
  </si>
  <si>
    <t xml:space="preserve">https://www.parliament.gov.za/storage/app/media/Pages/2025/12-09-2025_NCOP_Local_Government_Week/day1/2025-local-government-week-site-profiles-eersterivier-delft-and-mfuleni.pdf</t>
  </si>
  <si>
    <t xml:space="preserve">Joe Slovo Temporary Housing Area (THA)</t>
  </si>
  <si>
    <t xml:space="preserve">Langa, along Jakes Gerwel Drive</t>
  </si>
  <si>
    <t xml:space="preserve">2017</t>
  </si>
  <si>
    <t xml:space="preserve">Not reported</t>
  </si>
  <si>
    <t xml:space="preserve">Uncertain</t>
  </si>
  <si>
    <t xml:space="preserve">For residents who refused Delft move; no status found after Apr 2022.</t>
  </si>
  <si>
    <t xml:space="preserve">2022-04-08</t>
  </si>
  <si>
    <t xml:space="preserve">Langa 'Old Beer Hall' shipping-container TRA</t>
  </si>
  <si>
    <t xml:space="preserve">TRA (containers)</t>
  </si>
  <si>
    <t xml:space="preserve">Langa, Lerotholi Avenue</t>
  </si>
  <si>
    <t xml:space="preserve">2002</t>
  </si>
  <si>
    <t xml:space="preserve">Still occupied after 23 years (Apr 2025); City says part of Langa redevelopment, no timeline.</t>
  </si>
  <si>
    <t xml:space="preserve">2025-04</t>
  </si>
  <si>
    <t xml:space="preserve">https://groundup.org.za/article/families-moved-to-shipping-containers-by-city-23-years-ago-live-in-dire-conditions/</t>
  </si>
  <si>
    <t xml:space="preserve">Masonwabe TRA</t>
  </si>
  <si>
    <t xml:space="preserve">Gugulethu, NY109, behind Gugulethu police station (former Masonwabe hostel site)</t>
  </si>
  <si>
    <t xml:space="preserve">100+ families (~136 structures)</t>
  </si>
  <si>
    <t xml:space="preserve">Jul 2026: City plans to rehouse Masonwabe and Singabalapha (Observatory) residents together on a new Gugulethu site; residents object. [Verified]</t>
  </si>
  <si>
    <t xml:space="preserve">2026-07-30</t>
  </si>
  <si>
    <t xml:space="preserve">https://groundup.org.za/article/gugulethu-residents-lambast-citys-plan-for-them-to-share-land-with-observatory-occupiers/</t>
  </si>
  <si>
    <t xml:space="preserve">https://groundup.org.za/article/families-living-in-temporary-housing-for-over-a-decade-say-city-of-cape-town-has-abandoned-them/</t>
  </si>
  <si>
    <t xml:space="preserve">Wolwerivier (emergency housing camp / IDA)</t>
  </si>
  <si>
    <t xml:space="preserve">TRA / IDA</t>
  </si>
  <si>
    <t xml:space="preserve">North of Dunoon, ~30 km from CBD (off R304/N7 side)</t>
  </si>
  <si>
    <t xml:space="preserve">Low – rough estimate</t>
  </si>
  <si>
    <t xml:space="preserve">2015</t>
  </si>
  <si>
    <t xml:space="preserve">~336 units initially; now overcrowded</t>
  </si>
  <si>
    <t xml:space="preserve">Roads, crèche, clinic added after 2021; fires Dec 2023; still offered to evictees (Bromwell St case).</t>
  </si>
  <si>
    <t xml:space="preserve">2024-02-01</t>
  </si>
  <si>
    <t xml:space="preserve">https://groundup.org.za/article/situation-even-worse-now-in-wolwerivier-say-residents/</t>
  </si>
  <si>
    <t xml:space="preserve">https://www.dailymaverick.co.za/article/2024-01-24-wolwerivier-emergency-housing-camp-is-hell-on-earth-32km-from-heart-of-cape-town/</t>
  </si>
  <si>
    <t xml:space="preserve">Kampies (emergency housing site)</t>
  </si>
  <si>
    <t xml:space="preserve">Philippi farming area, ~15 km from CBD</t>
  </si>
  <si>
    <t xml:space="preserve">pre-2019</t>
  </si>
  <si>
    <t xml:space="preserve">~109 structures / ~140 families</t>
  </si>
  <si>
    <t xml:space="preserve">Offered to Bromwell St evictees (SCA, 2023); criticised in UCT input to SAHRC (Feb 2025).</t>
  </si>
  <si>
    <t xml:space="preserve">2025-02</t>
  </si>
  <si>
    <t xml:space="preserve">https://www.dailymaverick.co.za/article/2023-02-06-supreme-court-of-appeal-finds-cape-town-emergency-housing-programme-in-line-with-constitution/</t>
  </si>
  <si>
    <t xml:space="preserve">https://mkeswell.github.io/UCT_SAHRC_input_original.pdf</t>
  </si>
  <si>
    <t xml:space="preserve">Bhekela site / Stock Road TRA (PRASA Central Line relocation)</t>
  </si>
  <si>
    <t xml:space="preserve">Philippi East ('Philippi Wedge'), behind Stock Road transport hub</t>
  </si>
  <si>
    <t xml:space="preserve">Dec 2023–Feb 2024</t>
  </si>
  <si>
    <t xml:space="preserve">856–891 households</t>
  </si>
  <si>
    <t xml:space="preserve">Poor services (90 toilets, tankered water); protests; awaiting permanent relocation. PRASA/HDA on private land.</t>
  </si>
  <si>
    <t xml:space="preserve">2024-02-28</t>
  </si>
  <si>
    <t xml:space="preserve">https://groundup.org.za/article/temporary-relocation-of-more-than-880-families-from-railway-in-cape-town-completed/</t>
  </si>
  <si>
    <t xml:space="preserve">https://www.dailymaverick.co.za/article/2024-02-28-scopa-grills-city-of-cape-town-on-relocation-of-prasas-central-line-occupiers/</t>
  </si>
  <si>
    <t xml:space="preserve">Bosasa TRA (old site)</t>
  </si>
  <si>
    <t xml:space="preserve">Mfuleni, ~30 km from CBD</t>
  </si>
  <si>
    <t xml:space="preserve">c. 2009–10</t>
  </si>
  <si>
    <t xml:space="preserve">150 extra units added 2020</t>
  </si>
  <si>
    <t xml:space="preserve">Cited as active in UCT SAHRC input (Feb 2025); limited transport, high crime.</t>
  </si>
  <si>
    <t xml:space="preserve">https://groundup.org.za/article/mfuleni-residents-are-tired-of-seeing-the-city-relocate-residents-from-other-townships/</t>
  </si>
  <si>
    <t xml:space="preserve">Bosasa Link (Mfuleni Emergency Housing Development)</t>
  </si>
  <si>
    <t xml:space="preserve">Emergency housing / TRA</t>
  </si>
  <si>
    <t xml:space="preserve">Mfuleni, between Old Faure Rd (M49) and Spine Rd ext. (M32)</t>
  </si>
  <si>
    <t xml:space="preserve">2024</t>
  </si>
  <si>
    <t xml:space="preserve">713–756 serviced sites</t>
  </si>
  <si>
    <t xml:space="preserve">Receiving MyCiTi-displaced households and, Aug 2026, ~30 families from Luyolo hall (Gugulethu). Phase 2 due ~Feb 2026.</t>
  </si>
  <si>
    <t xml:space="preserve">2026-08-05</t>
  </si>
  <si>
    <t xml:space="preserve">https://groundup.org.za/article/families-who-occupied-a-cape-town-community-hall-for-eight-years-have-finally-been-moved/</t>
  </si>
  <si>
    <t xml:space="preserve">https://www.news24.com/mixed-emotions-among-bosasa-link-project-residents-as-they-settle-into-new-homes-20240808</t>
  </si>
  <si>
    <t xml:space="preserve">Sondela TRA</t>
  </si>
  <si>
    <t xml:space="preserve">Mfuleni, Ward 108</t>
  </si>
  <si>
    <t xml:space="preserve">Nov 2023</t>
  </si>
  <si>
    <t xml:space="preserve">~324 residents</t>
  </si>
  <si>
    <t xml:space="preserve">Serviced (water, electricity, toilets); residents moved from flood-prone wetland.</t>
  </si>
  <si>
    <t xml:space="preserve">2023-11-23</t>
  </si>
  <si>
    <t xml:space="preserve">https://novanews.co.za/cityvision/safer-houses-at-temporary-relocation-area-in-mfuleni-cape-town-welcomed-20231123/</t>
  </si>
  <si>
    <t xml:space="preserve">Green Point (Khayelitsha) temporary housing site</t>
  </si>
  <si>
    <t xml:space="preserve">Green Point, Khayelitsha</t>
  </si>
  <si>
    <t xml:space="preserve">Dec 2025–Jan 2026</t>
  </si>
  <si>
    <t xml:space="preserve">40 units (27 stolen, 13 vandalised Jan 2026)</t>
  </si>
  <si>
    <t xml:space="preserve">Active / being rebuilt</t>
  </si>
  <si>
    <t xml:space="preserve">For households moved off sewer lines (Lansdowne Rd, Site C/SST).</t>
  </si>
  <si>
    <t xml:space="preserve">2026-01</t>
  </si>
  <si>
    <t xml:space="preserve">https://www.dailymaverick.co.za/article/sewerage-maintenance-relocation-of-khayeelitsha-families-delayed-after-vandalism/</t>
  </si>
  <si>
    <t xml:space="preserve">https://groundup.org.za/article/protesters-demand-city-of-cape-town-compensate-them-for-destroying-their-homes-and-damaging-their-belongings/</t>
  </si>
  <si>
    <t xml:space="preserve">Wingfield emergency site</t>
  </si>
  <si>
    <t xml:space="preserve">Emergency site</t>
  </si>
  <si>
    <t xml:space="preserve">Wingfield / Maitland (state land)</t>
  </si>
  <si>
    <t xml:space="preserve">2020 (Covid)</t>
  </si>
  <si>
    <t xml:space="preserve">~160 refugees</t>
  </si>
  <si>
    <t xml:space="preserve">Active – eviction pending</t>
  </si>
  <si>
    <t xml:space="preserve">City filed eviction application Jul 2025.</t>
  </si>
  <si>
    <t xml:space="preserve">2025-07-08</t>
  </si>
  <si>
    <t xml:space="preserve">https://groundup.org.za/article/city-of-cape-town-moves-to-evict-refugees-living-at-two-emergency-housing-sites/</t>
  </si>
  <si>
    <t xml:space="preserve">Paint City emergency site</t>
  </si>
  <si>
    <t xml:space="preserve">Bellville</t>
  </si>
  <si>
    <t xml:space="preserve">Delft South emergency housing site</t>
  </si>
  <si>
    <t xml:space="preserve">Delft South</t>
  </si>
  <si>
    <t xml:space="preserve">Not found</t>
  </si>
  <si>
    <t xml:space="preserve">Unknown</t>
  </si>
  <si>
    <t xml:space="preserve">Active (offered)</t>
  </si>
  <si>
    <t xml:space="preserve">Offered to Singabalapha occupiers in 2026 (rejected). May overlap with another Delft site.</t>
  </si>
  <si>
    <t xml:space="preserve">Imizamo Yethu TRAs (Disa, Depot, Triangle)</t>
  </si>
  <si>
    <t xml:space="preserve">Hout Bay; 'Triangle' above cemetery on Hout Bay Rd</t>
  </si>
  <si>
    <t xml:space="preserve">Dec 2017 (post-fire)</t>
  </si>
  <si>
    <t xml:space="preserve">~300 households</t>
  </si>
  <si>
    <t xml:space="preserve">No 2022–26 source found.</t>
  </si>
  <si>
    <t xml:space="preserve">2019-06</t>
  </si>
  <si>
    <t xml:space="preserve">https://groundup.org.za/article/two-years-survivors-imizamo-yethu-fire-crammed-disused-municipal-buildings/</t>
  </si>
  <si>
    <t xml:space="preserve">https://www.sentinelnews.co.za/news/residents-move-onto-tra-site/</t>
  </si>
  <si>
    <t xml:space="preserve">Happy Valley TRA</t>
  </si>
  <si>
    <t xml:space="preserve">TRA (decant)</t>
  </si>
  <si>
    <t xml:space="preserve">Blackheath / Blue Downs, Wimbledon Rd</t>
  </si>
  <si>
    <t xml:space="preserve">c. 2011–12</t>
  </si>
  <si>
    <t xml:space="preserve">Could not confirm TRA still exists (protests Jul 2025).</t>
  </si>
  <si>
    <t xml:space="preserve">2012-02</t>
  </si>
  <si>
    <t xml:space="preserve">https://www.bcid.co.za/happy-valley-housing-development/</t>
  </si>
  <si>
    <t xml:space="preserve">Mossel Bay</t>
  </si>
  <si>
    <t xml:space="preserve">KwaNonqaba UISP TRA</t>
  </si>
  <si>
    <t xml:space="preserve">TRA (prefab)</t>
  </si>
  <si>
    <t xml:space="preserve">KwaNonqaba, Mossel Bay</t>
  </si>
  <si>
    <t xml:space="preserve">2022–23</t>
  </si>
  <si>
    <t xml:space="preserve">250 prefab units + 250 storage units</t>
  </si>
  <si>
    <t xml:space="preserve">Built for in-situ upgrading; damaged in Aug 2022 protests; occupancy unknown.</t>
  </si>
  <si>
    <t xml:space="preserve">2023-08-16</t>
  </si>
  <si>
    <t xml:space="preserve">https://asla.co.za/project/temporary-relocation-area-tra/</t>
  </si>
  <si>
    <t xml:space="preserve">https://mbuisp.org/homepage/project-overview/tra/</t>
  </si>
  <si>
    <t xml:space="preserve">Stellenbosch</t>
  </si>
  <si>
    <t xml:space="preserve">Mountain View TRA</t>
  </si>
  <si>
    <t xml:space="preserve">Jamestown, Stellenbosch</t>
  </si>
  <si>
    <t xml:space="preserve">Protests May 2026 over site 'becoming an informal settlement'.</t>
  </si>
  <si>
    <t xml:space="preserve">2026-05</t>
  </si>
  <si>
    <t xml:space="preserve">https://www.smfnews.org/protest-erupts-over-use-of-jamestown-as-a-relocation-area/</t>
  </si>
  <si>
    <t xml:space="preserve">Kayamandi Northern Extension TRA</t>
  </si>
  <si>
    <t xml:space="preserve">Kayamandi</t>
  </si>
  <si>
    <t xml:space="preserve">c. 2023–24</t>
  </si>
  <si>
    <t xml:space="preserve">Decant site for Zone O / Enkanini / Siyahlala upgrades.</t>
  </si>
  <si>
    <t xml:space="preserve">n.d.</t>
  </si>
  <si>
    <t xml:space="preserve">https://pmg.org.za/committee-meeting/39912/</t>
  </si>
  <si>
    <t xml:space="preserve">Watergang TRA</t>
  </si>
  <si>
    <t xml:space="preserve">c. 2007–12</t>
  </si>
  <si>
    <t xml:space="preserve">Studied in 2021; no 2022–26 status found.</t>
  </si>
  <si>
    <t xml:space="preserve">2021</t>
  </si>
  <si>
    <t xml:space="preserve">https://www.researchgate.net/publication/351839856_An_Analysis_of_the_Watergang_Temporary_Relocation_Area_in_Kayamandi_Stellenbosch</t>
  </si>
  <si>
    <t xml:space="preserve">Knysna</t>
  </si>
  <si>
    <t xml:space="preserve">Khayalethu Bungalows temporary relocation</t>
  </si>
  <si>
    <t xml:space="preserve">Decant / TRA</t>
  </si>
  <si>
    <t xml:space="preserve">Khayalethu, Knysna</t>
  </si>
  <si>
    <t xml:space="preserve">2024–26</t>
  </si>
  <si>
    <t xml:space="preserve">124+ planned; 30 completed</t>
  </si>
  <si>
    <t xml:space="preserve">Short-term decant while Phases 2–3 built (2025/26–2026/27).</t>
  </si>
  <si>
    <t xml:space="preserve">2026-02</t>
  </si>
  <si>
    <t xml:space="preserve">https://www.thehda.co.za/knysna-khayalethu-bungalows-housing-intervention/</t>
  </si>
  <si>
    <t xml:space="preserve">eThekwini</t>
  </si>
  <si>
    <t xml:space="preserve">Zamani transit camp (Malukazi; possibly 'Lindela')</t>
  </si>
  <si>
    <t xml:space="preserve">Transit camp</t>
  </si>
  <si>
    <t xml:space="preserve">Malukazi, ward 89, near King Zwelithini Stadium (Umlazi/Isipingo Hills)</t>
  </si>
  <si>
    <t xml:space="preserve">2009</t>
  </si>
  <si>
    <t xml:space="preserve">Hundreds of families</t>
  </si>
  <si>
    <t xml:space="preserve">Nov 2024: city says no budget for repairs.</t>
  </si>
  <si>
    <t xml:space="preserve">2024-11-28</t>
  </si>
  <si>
    <t xml:space="preserve">https://groundup.org.za/article/families-relocated-for-2010-world-cup-left-with-overflowing-toilets-flood-damaged-homes-and-broken-promises/</t>
  </si>
  <si>
    <t xml:space="preserve">Isipingo transit camp</t>
  </si>
  <si>
    <t xml:space="preserve">Between Isipingo and Lotus Park, ward 90</t>
  </si>
  <si>
    <t xml:space="preserve">c. 2009</t>
  </si>
  <si>
    <t xml:space="preserve">~750 families (2018); most moved 2022–23</t>
  </si>
  <si>
    <t xml:space="preserve">Being emptied</t>
  </si>
  <si>
    <t xml:space="preserve">Residents moved to Cornubia and Kanku Rd project; camp to be demolished when cleared. Current status unconfirmed.</t>
  </si>
  <si>
    <t xml:space="preserve">2023-07-20</t>
  </si>
  <si>
    <t xml:space="preserve">https://www.iol.co.za/dailynews/news/isipingo-transit-camp-residents-demand-answers-on-new-housing-allocation-plan-0297da16-8d67-46d8-b370-8348da2bd879</t>
  </si>
  <si>
    <t xml:space="preserve">https://www.sanews.gov.za/south-africa/new-homes-isipingo-transit-camp-residents</t>
  </si>
  <si>
    <t xml:space="preserve">KwaDabeka transit camp</t>
  </si>
  <si>
    <t xml:space="preserve">KwaDabeka near Clermont (Dumisani Makhaye Dr)</t>
  </si>
  <si>
    <t xml:space="preserve">609 prefab units</t>
  </si>
  <si>
    <t xml:space="preserve">Nov 2023: no land to relocate; repairs considered.</t>
  </si>
  <si>
    <t xml:space="preserve">2023-11-01</t>
  </si>
  <si>
    <t xml:space="preserve">https://groundup.org.za/article/transit-camp-homes-are-falling-apart-says-durban-residents/</t>
  </si>
  <si>
    <t xml:space="preserve">Amaoti transit camp</t>
  </si>
  <si>
    <t xml:space="preserve">Shellbrook St, Amaoti, Inanda</t>
  </si>
  <si>
    <t xml:space="preserve">c. 2012</t>
  </si>
  <si>
    <t xml:space="preserve">~360 people</t>
  </si>
  <si>
    <t xml:space="preserve">Phased move to Amaoti Cuba project (phase 2 delayed).</t>
  </si>
  <si>
    <t xml:space="preserve">2023-04-04</t>
  </si>
  <si>
    <t xml:space="preserve">https://groundup.org.za/article/living-conditions-at-amaoti-transit-camp-are-inhumane-and-getting-worse-say-residents/</t>
  </si>
  <si>
    <t xml:space="preserve">https://www.dailymaverick.co.za/article/2023-04-04-residents-languish-in-inhumane-ethekwini-transit-camp-11-years-later/</t>
  </si>
  <si>
    <t xml:space="preserve">Madamfana transit camp</t>
  </si>
  <si>
    <t xml:space="preserve">Ntuzuma</t>
  </si>
  <si>
    <t xml:space="preserve">33 families</t>
  </si>
  <si>
    <t xml:space="preserve">Funding applied for 22 units (Sep 2023).</t>
  </si>
  <si>
    <t xml:space="preserve">2023-09-21</t>
  </si>
  <si>
    <t xml:space="preserve">https://groundup.org.za/article/families-have-been-waiting-six-years-to-be-moved-from-durban-transit-camp/</t>
  </si>
  <si>
    <t xml:space="preserve">Umbhayi transit camp</t>
  </si>
  <si>
    <t xml:space="preserve">Umbhayi, near oThongathi (Tongaat)</t>
  </si>
  <si>
    <t xml:space="preserve">2019</t>
  </si>
  <si>
    <t xml:space="preserve">100+ people</t>
  </si>
  <si>
    <t xml:space="preserve">Tongaat RDP project (~250 houses) incomplete.</t>
  </si>
  <si>
    <t xml:space="preserve">2024-02-16</t>
  </si>
  <si>
    <t xml:space="preserve">https://groundup.org.za/article/families-stuck-in-transit-camp-as-ethekwini-housing-project-remains-incomplete/</t>
  </si>
  <si>
    <t xml:space="preserve">Lindelani transit camp</t>
  </si>
  <si>
    <t xml:space="preserve">Lindelani (by Ntuzuma)</t>
  </si>
  <si>
    <t xml:space="preserve">2019 (flood victims)</t>
  </si>
  <si>
    <t xml:space="preserve">Not stated</t>
  </si>
  <si>
    <t xml:space="preserve">Poor water &amp; sanitation (Jun 2024).</t>
  </si>
  <si>
    <t xml:space="preserve">2024-06-10</t>
  </si>
  <si>
    <t xml:space="preserve">https://iol.co.za/dailynews/news/2024-06-10-no-power-for-the-forgotten-flood-victims/</t>
  </si>
  <si>
    <t xml:space="preserve">eMathinini transit camp (Gwala St)</t>
  </si>
  <si>
    <t xml:space="preserve">Lamontville (IOL says ward 75 Inanda – conflicting)</t>
  </si>
  <si>
    <t xml:space="preserve">2007+</t>
  </si>
  <si>
    <t xml:space="preserve">100+ households (2022)</t>
  </si>
  <si>
    <t xml:space="preserve">No electricity (Jun 2024); ~150 residents displaced again by Feb 2025 floods.</t>
  </si>
  <si>
    <t xml:space="preserve">https://groundup.org.za/article/we-have-been-moved-from-one-place-to-another-says-durban-flood-victim/</t>
  </si>
  <si>
    <t xml:space="preserve">Lamontville / Barcelona 2 transit camp</t>
  </si>
  <si>
    <t xml:space="preserve">Lamontville</t>
  </si>
  <si>
    <t xml:space="preserve">2008</t>
  </si>
  <si>
    <t xml:space="preserve">Cited as active Aug 2024.</t>
  </si>
  <si>
    <t xml:space="preserve">2024-08-16</t>
  </si>
  <si>
    <t xml:space="preserve">https://iol.co.za/dailynews/news/2024-08-16-siboniso-dumas-grand-plan-to-fully-eradicate-transit-camps/</t>
  </si>
  <si>
    <t xml:space="preserve">Foreman Road transit camp</t>
  </si>
  <si>
    <t xml:space="preserve">Foreman Rd, Clare Estate / Sherwood</t>
  </si>
  <si>
    <t xml:space="preserve">2008–09</t>
  </si>
  <si>
    <t xml:space="preserve">800+ households (2017)</t>
  </si>
  <si>
    <t xml:space="preserve">Active (partly burned)</t>
  </si>
  <si>
    <t xml:space="preserve">Fire 8 Oct 2023 destroyed 60+ shacks; formal housing project planned.</t>
  </si>
  <si>
    <t xml:space="preserve">2023-10-10</t>
  </si>
  <si>
    <t xml:space="preserve">https://www.groundup.org.za/article/transit-camp-for-fire-victims-burns-down-in-durban/</t>
  </si>
  <si>
    <t xml:space="preserve">Congo transit camp</t>
  </si>
  <si>
    <t xml:space="preserve">Inanda (residents from Nhlungwane)</t>
  </si>
  <si>
    <t xml:space="preserve">2022 (Apr 2022 floods)</t>
  </si>
  <si>
    <t xml:space="preserve">~250 people</t>
  </si>
  <si>
    <t xml:space="preserve">No running water, sanitation or electricity (Jun 2024).</t>
  </si>
  <si>
    <t xml:space="preserve">2024-06-11</t>
  </si>
  <si>
    <t xml:space="preserve">https://allafrica.com/stories/202406110038.html</t>
  </si>
  <si>
    <t xml:space="preserve">Mayville transit camp(s)</t>
  </si>
  <si>
    <t xml:space="preserve">Mayville / Cato Manor</t>
  </si>
  <si>
    <t xml:space="preserve">Legacy</t>
  </si>
  <si>
    <t xml:space="preserve">Active (slated for closure)</t>
  </si>
  <si>
    <t xml:space="preserve">Named as decommissioning targets Aug 2024.</t>
  </si>
  <si>
    <t xml:space="preserve">Durban Central transit camp(s)</t>
  </si>
  <si>
    <t xml:space="preserve">Durban central (unnamed)</t>
  </si>
  <si>
    <t xml:space="preserve">Quarry Heights transit camp</t>
  </si>
  <si>
    <t xml:space="preserve">Quarry Heights (near KwaMashu/Newlands)</t>
  </si>
  <si>
    <t xml:space="preserve">Oversight visit 2020; no 2022–26 status found.</t>
  </si>
  <si>
    <t xml:space="preserve">2020-09-28</t>
  </si>
  <si>
    <t xml:space="preserve">https://kznlegislature.gov.za/human-settlements-pc-visits-transit-camps/</t>
  </si>
  <si>
    <t xml:space="preserve">White City transit camp</t>
  </si>
  <si>
    <t xml:space="preserve">White City (Ntuzuma/KwaMashu)</t>
  </si>
  <si>
    <t xml:space="preserve">KwaMshayazafe transit camp</t>
  </si>
  <si>
    <t xml:space="preserve">eThekwini (exact area unconfirmed)</t>
  </si>
  <si>
    <t xml:space="preserve">Tongaat-Greylands transit camp</t>
  </si>
  <si>
    <t xml:space="preserve">Greylands, oThongathi</t>
  </si>
  <si>
    <t xml:space="preserve">Astra Building TEA</t>
  </si>
  <si>
    <t xml:space="preserve">TEA (building, 2022 floods)</t>
  </si>
  <si>
    <t xml:space="preserve">Russell St, Durban CBD</t>
  </si>
  <si>
    <t xml:space="preserve">Nov 2022</t>
  </si>
  <si>
    <t xml:space="preserve">531 families (2022) → ~285 (Feb 2026)</t>
  </si>
  <si>
    <t xml:space="preserve">Active (may have closed mid-2026)</t>
  </si>
  <si>
    <t xml:space="preserve">Among remaining TEAs Feb 2026; 8 TEAs closed by Aug 2026 (list not published).</t>
  </si>
  <si>
    <t xml:space="preserve">2026-02-11</t>
  </si>
  <si>
    <t xml:space="preserve">https://groundup.org.za/article/kzn-flood-victims-stuck-in-emergency-housing-three-years-later/</t>
  </si>
  <si>
    <t xml:space="preserve">https://www.sanews.gov.za/south-africa/kzn-flood-victims-moved-decent-accommodation</t>
  </si>
  <si>
    <t xml:space="preserve">O'Flaherty Building TEA</t>
  </si>
  <si>
    <t xml:space="preserve">O'Flaherty Rd, Sydenham</t>
  </si>
  <si>
    <t xml:space="preserve">Dec 2022</t>
  </si>
  <si>
    <t xml:space="preserve">Named among remaining TEAs May 2026.</t>
  </si>
  <si>
    <t xml:space="preserve">2026-05-18</t>
  </si>
  <si>
    <t xml:space="preserve">https://iol.co.za/news/south-africa/kwazulu-natal/2026-05-18-durban-flood-victims-finally-receive-keys-to-new-homes-four-years-later/</t>
  </si>
  <si>
    <t xml:space="preserve">Crystal Valley apartments TEA</t>
  </si>
  <si>
    <t xml:space="preserve">Outside Durban (exact location unidentified)</t>
  </si>
  <si>
    <t xml:space="preserve">~300 families</t>
  </si>
  <si>
    <t xml:space="preserve">Active Feb 2026.</t>
  </si>
  <si>
    <t xml:space="preserve">KwaDimba apartments TEA</t>
  </si>
  <si>
    <t xml:space="preserve">Near Thornwood / Shallcross</t>
  </si>
  <si>
    <t xml:space="preserve">2022</t>
  </si>
  <si>
    <t xml:space="preserve">~40 people</t>
  </si>
  <si>
    <t xml:space="preserve">Reservoir Hills flats TEA</t>
  </si>
  <si>
    <t xml:space="preserve">Reservoir Hills</t>
  </si>
  <si>
    <t xml:space="preserve">Closing</t>
  </si>
  <si>
    <t xml:space="preserve">Residents moving to Cornubia May 2026.</t>
  </si>
  <si>
    <t xml:space="preserve">Dassenhoek TEA</t>
  </si>
  <si>
    <t xml:space="preserve">TEA (2022 floods)</t>
  </si>
  <si>
    <t xml:space="preserve">Dassenhoek, outer west</t>
  </si>
  <si>
    <t xml:space="preserve">Named as remaining TEA May 2026.</t>
  </si>
  <si>
    <t xml:space="preserve">https://witness.co.za/news/2026/05/18/4-000-flood-victims-housed-as-kzn-shifts-to-permanent-homes/</t>
  </si>
  <si>
    <t xml:space="preserve">Ntuzuma TEA</t>
  </si>
  <si>
    <t xml:space="preserve">'Ashley Place of Safety'</t>
  </si>
  <si>
    <t xml:space="preserve">Probably Ashley, Pinetown (unconfirmed)</t>
  </si>
  <si>
    <t xml:space="preserve">143 families (~400 people)</t>
  </si>
  <si>
    <t xml:space="preserve">Active Sep 2026.</t>
  </si>
  <si>
    <t xml:space="preserve">2026-09-04</t>
  </si>
  <si>
    <t xml:space="preserve">https://kzn.da.org.za/2026/09/four-years-after-kzn-floods-families-remain-trapped-in-temporary-shelter</t>
  </si>
  <si>
    <t xml:space="preserve">Pinetown Student Village TEA</t>
  </si>
  <si>
    <t xml:space="preserve">Pinetown</t>
  </si>
  <si>
    <t xml:space="preserve">No 2024–26 update; may be same as 'Ashley Place of Safety'.</t>
  </si>
  <si>
    <t xml:space="preserve">2022-12-13</t>
  </si>
  <si>
    <t xml:space="preserve">Conway Farm / Frazer compound</t>
  </si>
  <si>
    <t xml:space="preserve">oThongathi (Tongaat)</t>
  </si>
  <si>
    <t xml:space="preserve">163 families (2022); 118 (Jun 2023)</t>
  </si>
  <si>
    <t xml:space="preserve">No status after 2023.</t>
  </si>
  <si>
    <t xml:space="preserve">2023-06-29</t>
  </si>
  <si>
    <t xml:space="preserve">https://www.parliament.gov.za/press-releases/media-statement-committee-flood-disaster-calls-ethekwini-municipality-find-permanent-accommodation-flood-victims</t>
  </si>
  <si>
    <t xml:space="preserve">Montclair Lodge (former Transnet hostel)</t>
  </si>
  <si>
    <t xml:space="preserve">TEA (govt-owned)</t>
  </si>
  <si>
    <t xml:space="preserve">Montclair, south Durban</t>
  </si>
  <si>
    <t xml:space="preserve">Bought May 2025; reopened Jun–Jul 2026</t>
  </si>
  <si>
    <t xml:space="preserve">268–309 rooms; ~137 occupied Aug 2026</t>
  </si>
  <si>
    <t xml:space="preserve">Now main remaining TEA (stays meant to be 1–3 months).</t>
  </si>
  <si>
    <t xml:space="preserve">2026-08-12</t>
  </si>
  <si>
    <t xml:space="preserve">https://www.dailymaverick.co.za/article/2026-08-12-durban-flood-victims-left-on-pavement-as-court-rejects-housing-bid/</t>
  </si>
  <si>
    <t xml:space="preserve">https://sahrc.org.za/index.php/sahrc-media/news-2/item/4503-media-statement-victory-for-human-rights-montclair-lodge-ready-for-occupancy-for-the-victims-of-flooding-following-sahrc-intervention</t>
  </si>
  <si>
    <t xml:space="preserve">Ilfracombe and Adams TEUs</t>
  </si>
  <si>
    <t xml:space="preserve">Temporary emergency units</t>
  </si>
  <si>
    <t xml:space="preserve">Ilfracombe / Adams Mission (near Illovo)</t>
  </si>
  <si>
    <t xml:space="preserve">Due to close once 20 Illovo houses finished (Aug 2025).</t>
  </si>
  <si>
    <t xml:space="preserve">2025-08-12</t>
  </si>
  <si>
    <t xml:space="preserve">https://iol.co.za/news/south-africa/kwazulu-natal/2025-08-12-kwazulu-natal-to-close-emergency-accommodations-for-flood-victims-by-january-2027/</t>
  </si>
  <si>
    <t xml:space="preserve">Umbilo former student residence (Lamontville Feb 2025 flood victims)</t>
  </si>
  <si>
    <t xml:space="preserve">Emergency accommodation</t>
  </si>
  <si>
    <t xml:space="preserve">Umbilo</t>
  </si>
  <si>
    <t xml:space="preserve">Jul 2025</t>
  </si>
  <si>
    <t xml:space="preserve">~40 families</t>
  </si>
  <si>
    <t xml:space="preserve">In use Oct 2025 after Bayside Hotel eviction.</t>
  </si>
  <si>
    <t xml:space="preserve">2025-10-05</t>
  </si>
  <si>
    <t xml:space="preserve">https://sundaytribune.co.za/news/2025-10-05-flood-victims-struggle-with-strict-rules-at-temporary-accommodation/</t>
  </si>
  <si>
    <t xml:space="preserve">Ntshongweni TRUs (ward 7)</t>
  </si>
  <si>
    <t xml:space="preserve">TRU cluster</t>
  </si>
  <si>
    <t xml:space="preserve">Shongweni, outer west</t>
  </si>
  <si>
    <t xml:space="preserve">Dec 2025</t>
  </si>
  <si>
    <t xml:space="preserve">19 families</t>
  </si>
  <si>
    <t xml:space="preserve">Temporary until permanent houses built.</t>
  </si>
  <si>
    <t xml:space="preserve">2025-12</t>
  </si>
  <si>
    <t xml:space="preserve">https://www.sabcnews.com/sabcnews/ethekwini-delivers-temporary-homes-to-flood-victims-in-ntshongweni/</t>
  </si>
  <si>
    <t xml:space="preserve">KwaDukuza (iLembe)</t>
  </si>
  <si>
    <t xml:space="preserve">Driefontein and Stanger Manor TRUs</t>
  </si>
  <si>
    <t xml:space="preserve">KwaDukuza / Stanger</t>
  </si>
  <si>
    <t xml:space="preserve">221 TRUs</t>
  </si>
  <si>
    <t xml:space="preserve">No later status found.</t>
  </si>
  <si>
    <t xml:space="preserve">2022-12-07</t>
  </si>
  <si>
    <t xml:space="preserve">https://www.sowetan.co.za/news/south-africa/2022-12-07-kwadukuza-municipality-moves-closer-to-housing-all-displaced-flood-victims/</t>
  </si>
  <si>
    <t xml:space="preserve">Maphumulo (iLembe)</t>
  </si>
  <si>
    <t xml:space="preserve">Qadi and Maqumbi rural TRU projects</t>
  </si>
  <si>
    <t xml:space="preserve">TRU (rural, scattered)</t>
  </si>
  <si>
    <t xml:space="preserve">Maphumulo</t>
  </si>
  <si>
    <t xml:space="preserve">2023–24</t>
  </si>
  <si>
    <t xml:space="preserve">500 TRUs (Qadi); Maqumbi 17 of 50</t>
  </si>
  <si>
    <t xml:space="preserve">Active / under construction</t>
  </si>
  <si>
    <t xml:space="preserve">Qadi handed over; Maqumbi under construction (Nov 2024).</t>
  </si>
  <si>
    <t xml:space="preserve">2024-11-12</t>
  </si>
  <si>
    <t xml:space="preserve">https://pmg.org.za/tabled-committee-report/6010/</t>
  </si>
  <si>
    <t xml:space="preserve">City of Johannesburg</t>
  </si>
  <si>
    <t xml:space="preserve">Wembley Stadium TEA ('Turffontein TRA')</t>
  </si>
  <si>
    <t xml:space="preserve">TEA</t>
  </si>
  <si>
    <t xml:space="preserve">Turffontein, next to Turffontein Race Course</t>
  </si>
  <si>
    <t xml:space="preserve">2016</t>
  </si>
  <si>
    <t xml:space="preserve">~350 people (Aug 2026)</t>
  </si>
  <si>
    <t xml:space="preserve">No working water/electricity; no one moved to permanent housing. [Verified]</t>
  </si>
  <si>
    <t xml:space="preserve">2026-08-20</t>
  </si>
  <si>
    <t xml:space="preserve">https://groundup.org.za/article/hundreds-stuck-for-years-in-joburgs-temporary-shelters/</t>
  </si>
  <si>
    <t xml:space="preserve">https://www.dailymaverick.co.za/article/2022-02-28-from-bad-to-worse-foreign-nationals-evicted-from-johannesburg-inner-city-relocated-to-squalid-shelter/</t>
  </si>
  <si>
    <t xml:space="preserve">Denver TRA ('Shalazile')</t>
  </si>
  <si>
    <t xml:space="preserve">Denver, off Main Reef Rd, next to Denver Men's Hostel</t>
  </si>
  <si>
    <t xml:space="preserve">~220–300 structures; 200+ occupants</t>
  </si>
  <si>
    <t xml:space="preserve">Built for Usindiso fire survivors (2023); largely taken over by others; crime/flooding; no permanent housing (Oct 2025).</t>
  </si>
  <si>
    <t xml:space="preserve">2025-10-07</t>
  </si>
  <si>
    <t xml:space="preserve">https://www.dailymaverick.co.za/article/2025-10-07-two-years-after-usindiso-fire-survivors-struggle-in-crime-infested-temporary-housing/</t>
  </si>
  <si>
    <t xml:space="preserve">https://www.timeslive.co.za/news/south-africa/2025-08-24-usindiso-fire-survivors-face-new-terror/</t>
  </si>
  <si>
    <t xml:space="preserve">Marlboro / Marlboro Gardens TRA (Setswetla de-densification)</t>
  </si>
  <si>
    <t xml:space="preserve">Eastern Alexandra near Marlboro</t>
  </si>
  <si>
    <t xml:space="preserve">2020 (announced)</t>
  </si>
  <si>
    <t xml:space="preserve">1,600 households planned; 2,295 units in budget</t>
  </si>
  <si>
    <t xml:space="preserve">Uncertain / under construction</t>
  </si>
  <si>
    <t xml:space="preserve">R18.5m budgeted 2025/26; no occupancy reports after 2022.</t>
  </si>
  <si>
    <t xml:space="preserve">2025</t>
  </si>
  <si>
    <t xml:space="preserve">https://joburg.org.za/documents_/Documents/ANNEXURE_A-AND-B.pdf</t>
  </si>
  <si>
    <t xml:space="preserve">https://www.citizen.co.za/news/south-africa/government/city-of-joburg-to-relocate-1600-residents-from-alexandra/</t>
  </si>
  <si>
    <t xml:space="preserve">Madala Sports Field TRA</t>
  </si>
  <si>
    <t xml:space="preserve">Alexandra, near Madala Hostel</t>
  </si>
  <si>
    <t xml:space="preserve">2020 (planned)</t>
  </si>
  <si>
    <t xml:space="preserve">1,233 units</t>
  </si>
  <si>
    <t xml:space="preserve">R4.05m budgeted 2025/26; occupancy not confirmed.</t>
  </si>
  <si>
    <t xml:space="preserve">Diepsloot TRUs (William Nicol / Summit Rd)</t>
  </si>
  <si>
    <t xml:space="preserve">TRU (Covid)</t>
  </si>
  <si>
    <t xml:space="preserve">Diepsloot</t>
  </si>
  <si>
    <t xml:space="preserve">2020</t>
  </si>
  <si>
    <t xml:space="preserve">1,108 units</t>
  </si>
  <si>
    <t xml:space="preserve">No status after 2022.</t>
  </si>
  <si>
    <t xml:space="preserve">2020-07-24</t>
  </si>
  <si>
    <t xml:space="preserve">https://www.citizen.co.za/fourways-review/356552/locals-to-be-relocated/</t>
  </si>
  <si>
    <t xml:space="preserve">Tanganani Ext 7 / Ext 14 TRUs</t>
  </si>
  <si>
    <t xml:space="preserve">Tanganani, Diepsloot</t>
  </si>
  <si>
    <t xml:space="preserve">~1,100 units each</t>
  </si>
  <si>
    <t xml:space="preserve">https://www.vukuzenzele.gov.za/government-urgently-addresses-overcrowding</t>
  </si>
  <si>
    <t xml:space="preserve">Zandspruit TRA</t>
  </si>
  <si>
    <t xml:space="preserve">TRA (Covid)</t>
  </si>
  <si>
    <t xml:space="preserve">Zandspruit (Ext 84)</t>
  </si>
  <si>
    <t xml:space="preserve">1,402–2,208 units planned</t>
  </si>
  <si>
    <t xml:space="preserve">Mayor said in 2020 it would become permanent.</t>
  </si>
  <si>
    <t xml:space="preserve">2020-07-14</t>
  </si>
  <si>
    <t xml:space="preserve">https://www.citizen.co.za/roodepoort-record/2020/07/14/construction-of-tra-to-start-in-zandspruit/</t>
  </si>
  <si>
    <t xml:space="preserve">Wilgespruit Plot 323 TRUs</t>
  </si>
  <si>
    <t xml:space="preserve">Wilgespruit, Roodepoort</t>
  </si>
  <si>
    <t xml:space="preserve">72 households</t>
  </si>
  <si>
    <t xml:space="preserve">2020 source only.</t>
  </si>
  <si>
    <t xml:space="preserve">Helen Joseph Women's Hostel TRUs</t>
  </si>
  <si>
    <t xml:space="preserve">Alexandra</t>
  </si>
  <si>
    <t xml:space="preserve">144 units</t>
  </si>
  <si>
    <t xml:space="preserve">City of Tshwane</t>
  </si>
  <si>
    <t xml:space="preserve">Mamelodi Hostel TRUs</t>
  </si>
  <si>
    <t xml:space="preserve">TRU (Covid, HDA)</t>
  </si>
  <si>
    <t xml:space="preserve">Mamelodi West hostel</t>
  </si>
  <si>
    <t xml:space="preserve">2020–21</t>
  </si>
  <si>
    <t xml:space="preserve">454 built (of 633)</t>
  </si>
  <si>
    <t xml:space="preserve">Jan 2026 repairs logged at the TRUs.</t>
  </si>
  <si>
    <t xml:space="preserve">2026-01-14</t>
  </si>
  <si>
    <t xml:space="preserve">https://www.citizen.co.za/rekord/news-headlines/local-news/2026/01/14/water-wastage-and-ageing-infrastructure-trouble-mamelodi-hostel-dwellers/</t>
  </si>
  <si>
    <t xml:space="preserve">Mooiplaas TRUs (flood victims)</t>
  </si>
  <si>
    <t xml:space="preserve">TRU</t>
  </si>
  <si>
    <t xml:space="preserve">Mooiplaas (possibly Region 4 – unconfirmed)</t>
  </si>
  <si>
    <t xml:space="preserve">84 people (phase 1)</t>
  </si>
  <si>
    <t xml:space="preserve">Units cracking (Oct 2021); nothing later found.</t>
  </si>
  <si>
    <t xml:space="preserve">2021-10</t>
  </si>
  <si>
    <t xml:space="preserve">https://www.citizen.co.za/rekord/342964/flood-victims-finally-moved-to-safer-place/</t>
  </si>
  <si>
    <t xml:space="preserve">Nellmapius Ext 4 temporary relocation site</t>
  </si>
  <si>
    <t xml:space="preserve">Nellmapius Ext 4, Mamelodi</t>
  </si>
  <si>
    <t xml:space="preserve">Aug 2024</t>
  </si>
  <si>
    <t xml:space="preserve">35 beneficiaries</t>
  </si>
  <si>
    <t xml:space="preserve">Move to Pienaarspoort delayed (sand-mining damage); expected early 2026.</t>
  </si>
  <si>
    <t xml:space="preserve">2025-10-20</t>
  </si>
  <si>
    <t xml:space="preserve">https://www.citizen.co.za/rekord/news-headlines/local-news/2025/10/20/mamelodi-flood-victims-fear-being-forgotten-amid-relocation-delays/</t>
  </si>
  <si>
    <t xml:space="preserve">https://groundup.org.za/article/flood-victims-relocated-by-the-city-to-land-in-mamelodi-are-being-threatened-by-local-residents/</t>
  </si>
  <si>
    <t xml:space="preserve">City of Ekurhuleni</t>
  </si>
  <si>
    <t xml:space="preserve">Chief Albert Luthuli / 'N12' settlement</t>
  </si>
  <si>
    <t xml:space="preserve">Temporary relocation site (Bapsfontein evictees)</t>
  </si>
  <si>
    <t xml:space="preserve">Near Cloverdene, Benoni, along N12</t>
  </si>
  <si>
    <t xml:space="preserve">c. 2011</t>
  </si>
  <si>
    <t xml:space="preserve">~2,000 dwellings; 570 verified residents</t>
  </si>
  <si>
    <t xml:space="preserve">Disrupted – court-supervised</t>
  </si>
  <si>
    <t xml:space="preserve">Demolished May 2026; High Court (Jun 2026) ordered return of 570 residents with temporary structures.</t>
  </si>
  <si>
    <t xml:space="preserve">2026-06-15</t>
  </si>
  <si>
    <t xml:space="preserve">https://www.dailymaverick.co.za/article/2026-06-15-judge-orders-return-of-n12-families-after-flagrant-rights-violations/</t>
  </si>
  <si>
    <t xml:space="preserve">Chris Hani 'transitional' resettlement site</t>
  </si>
  <si>
    <t xml:space="preserve">Transitional site</t>
  </si>
  <si>
    <t xml:space="preserve">Next to Ivory Park (Tembisa side)</t>
  </si>
  <si>
    <t xml:space="preserve">Aug 2025</t>
  </si>
  <si>
    <t xml:space="preserve">139 families</t>
  </si>
  <si>
    <t xml:space="preserve">City calls it 'not permanent but transitional'.</t>
  </si>
  <si>
    <t xml:space="preserve">2025-08-19</t>
  </si>
  <si>
    <t xml:space="preserve">https://www.ekurhuleni.gov.za/press-releases/human-settlement/city-resettles-families-living-under-eskom-power-pylons-to-a-safer-settlement/</t>
  </si>
  <si>
    <t xml:space="preserve">Nelson Mandela Bay</t>
  </si>
  <si>
    <t xml:space="preserve">Walmer '1948' TRUs (Erf 1948)</t>
  </si>
  <si>
    <t xml:space="preserve">Walmer township (Gqebera), Gqeberha</t>
  </si>
  <si>
    <t xml:space="preserve">580–600 units</t>
  </si>
  <si>
    <t xml:space="preserve">Active (largely vandalised)</t>
  </si>
  <si>
    <t xml:space="preserve">Built for Airport Valley residents; units stripped; eviction of unlawful occupiers ordered Nov 2024.</t>
  </si>
  <si>
    <t xml:space="preserve">2025-11-06</t>
  </si>
  <si>
    <t xml:space="preserve">https://groundup.org.za/article/vandals-strip-temporary-housing-units-in-r42-million-gqeberha-project/</t>
  </si>
  <si>
    <t xml:space="preserve">https://www.theherald.co.za/politics/2025-11-09-abandoned-structures-in-r36m-temporary-housing-project-stripped-by-vandals/</t>
  </si>
  <si>
    <t xml:space="preserve">Van Rooyen TRUs</t>
  </si>
  <si>
    <t xml:space="preserve">TRU (2024 floods)</t>
  </si>
  <si>
    <t xml:space="preserve">Kamesh, Kariega, Ward 48, near Kamesh Police Station</t>
  </si>
  <si>
    <t xml:space="preserve">Oct 2024</t>
  </si>
  <si>
    <t xml:space="preserve">154 units</t>
  </si>
  <si>
    <t xml:space="preserve">Vandalism, crime, water/sanitation problems (Jan 2026).</t>
  </si>
  <si>
    <t xml:space="preserve">2026-01-23</t>
  </si>
  <si>
    <t xml:space="preserve">https://novanews.co.za/udexpress/temporary-housing-becomes-permanent-nightmare/</t>
  </si>
  <si>
    <t xml:space="preserve">https://www.sanews.gov.za/south-africa/relocation-residents-nelson-mandela-bay-flood-prone-areas-progressing-well</t>
  </si>
  <si>
    <t xml:space="preserve">Motherwell NU30 bungalows</t>
  </si>
  <si>
    <t xml:space="preserve">Motherwell NU30, Gqeberha</t>
  </si>
  <si>
    <t xml:space="preserve">~300 structures</t>
  </si>
  <si>
    <t xml:space="preserve">Partly converted</t>
  </si>
  <si>
    <t xml:space="preserve">Some replaced by permanent houses by 2026.</t>
  </si>
  <si>
    <t xml:space="preserve">2026-05-07</t>
  </si>
  <si>
    <t xml:space="preserve">https://groundup.org.za/article/from-leaky-bungalow-to-dream-home-wheelchair-users-6-year-wait-ends/</t>
  </si>
  <si>
    <t xml:space="preserve">https://groundup.org.za/article/families-who-were-moved-into-temporary-shelters-during-covid-pandemic-are-still-waiting-for-their-houses/</t>
  </si>
  <si>
    <t xml:space="preserve">Kariega 'Area 11' bungalows</t>
  </si>
  <si>
    <t xml:space="preserve">Area 11, Kariega</t>
  </si>
  <si>
    <t xml:space="preserve">420 bungalows</t>
  </si>
  <si>
    <t xml:space="preserve">Occupied Apr 2023; nothing later.</t>
  </si>
  <si>
    <t xml:space="preserve">2023-04-20</t>
  </si>
  <si>
    <t xml:space="preserve">https://groundup.org.za/article/kariega-shackdwellers-threaten-to-move-into-housing-project/</t>
  </si>
  <si>
    <t xml:space="preserve">Jaagvlakte prefab bungalows</t>
  </si>
  <si>
    <t xml:space="preserve">Jaagvlakte, Kariega</t>
  </si>
  <si>
    <t xml:space="preserve">163 households (phase 1)</t>
  </si>
  <si>
    <t xml:space="preserve">No 2022–26 update.</t>
  </si>
  <si>
    <t xml:space="preserve">2021-04-09</t>
  </si>
  <si>
    <t xml:space="preserve">https://groundup.org.za/article/relocation-project-hold-two-communities-battle-municipality-over-housing-allocations/</t>
  </si>
  <si>
    <t xml:space="preserve">Buffalo City</t>
  </si>
  <si>
    <t xml:space="preserve">Mtsotso Temporary Residential Area</t>
  </si>
  <si>
    <t xml:space="preserve">TRA (Duncan Village de-densification)</t>
  </si>
  <si>
    <t xml:space="preserve">Mtsotso, near Mdantsane, East London</t>
  </si>
  <si>
    <t xml:space="preserve">2021–22</t>
  </si>
  <si>
    <t xml:space="preserve">582 households</t>
  </si>
  <si>
    <t xml:space="preserve">Structures deteriorating; residents await RDP houses in Reeston. [Verified]</t>
  </si>
  <si>
    <t xml:space="preserve">2026-01-12</t>
  </si>
  <si>
    <t xml:space="preserve">https://www.dailydispatch.co.za/news/2026-01-12-residents-of-mtsotso-demand-action-on-temporary-shelter-conditions/</t>
  </si>
  <si>
    <t xml:space="preserve">Ziphunzana Bypass / Mdantsane East TRUs</t>
  </si>
  <si>
    <t xml:space="preserve">TRU (Duncan Village de-densification)</t>
  </si>
  <si>
    <t xml:space="preserve">Ziphunzana / Mdantsane East</t>
  </si>
  <si>
    <t xml:space="preserve">~2,000 units planned</t>
  </si>
  <si>
    <t xml:space="preserve">Possibly consolidated into Mtsotso.</t>
  </si>
  <si>
    <t xml:space="preserve">2020-07-16</t>
  </si>
  <si>
    <t xml:space="preserve">https://elitshanews.org.za/2020/07/16/duncan-village-residents-not-happy-with-relocation/</t>
  </si>
  <si>
    <t xml:space="preserve">Buffalo Flats prefabs</t>
  </si>
  <si>
    <t xml:space="preserve">Temporary prefabs</t>
  </si>
  <si>
    <t xml:space="preserve">Buffalo Flats, East London</t>
  </si>
  <si>
    <t xml:space="preserve">2010s</t>
  </si>
  <si>
    <t xml:space="preserve">200+ families</t>
  </si>
  <si>
    <t xml:space="preserve">Beneficiaries still in prefabs (Dec 2024).</t>
  </si>
  <si>
    <t xml:space="preserve">2024-12-12</t>
  </si>
  <si>
    <t xml:space="preserve">https://www.dailydispatch.co.za/news/2024-12-12-behind-the-news-a-personal-struggle-with-a-public-housing-fiasco/</t>
  </si>
  <si>
    <t xml:space="preserve">King Sabata Dalindyebo</t>
  </si>
  <si>
    <t xml:space="preserve">Mayden (Maiden) Farm TRUs</t>
  </si>
  <si>
    <t xml:space="preserve">TRU (June 2025 floods)</t>
  </si>
  <si>
    <t xml:space="preserve">Mayden Farm, Mthatha</t>
  </si>
  <si>
    <t xml:space="preserve">Aug–Sep 2025</t>
  </si>
  <si>
    <t xml:space="preserve">672 planned; 315+ occupied (Oct 2025)</t>
  </si>
  <si>
    <t xml:space="preserve">Active – still filling</t>
  </si>
  <si>
    <t xml:space="preserve">More keys handed over Jul 2026.</t>
  </si>
  <si>
    <t xml:space="preserve">2026-07-21</t>
  </si>
  <si>
    <t xml:space="preserve">https://www.dailydispatch.co.za/news/2026-07-21-grateful-flood-victims-get-temporary-homes-year-after-disaster/</t>
  </si>
  <si>
    <t xml:space="preserve">https://www.gov.za/news/media-statements/eastern-cape-relocation-mthatha-flood-victims-26-aug-2025</t>
  </si>
  <si>
    <t xml:space="preserve">Pola Park bungalows</t>
  </si>
  <si>
    <t xml:space="preserve">Temporary structures (2013 floods)</t>
  </si>
  <si>
    <t xml:space="preserve">Pola Park, near Mthatha Dam</t>
  </si>
  <si>
    <t xml:space="preserve">c. 2013–14</t>
  </si>
  <si>
    <t xml:space="preserve">Still occupied Feb 2022.</t>
  </si>
  <si>
    <t xml:space="preserve">2022-02-23</t>
  </si>
  <si>
    <t xml:space="preserve">https://www.dailymaverick.co.za/article/2022-02-23-mthatha-flood-victims-still-waiting-to-be-relocated-after-almost-a-decade/</t>
  </si>
  <si>
    <t xml:space="preserve">Mnquma</t>
  </si>
  <si>
    <t xml:space="preserve">New Rest TRUs</t>
  </si>
  <si>
    <t xml:space="preserve">New Rest, Butterworth</t>
  </si>
  <si>
    <t xml:space="preserve">Jul–Aug 2025</t>
  </si>
  <si>
    <t xml:space="preserve">~62–120 units</t>
  </si>
  <si>
    <t xml:space="preserve">Residents requesting water, power, sanitation.</t>
  </si>
  <si>
    <t xml:space="preserve">2025-08-26</t>
  </si>
  <si>
    <t xml:space="preserve">https://www.enca.com/news/eastern-cape-flood-relocations-face-resistance-butterworth</t>
  </si>
  <si>
    <t xml:space="preserve">Mbashe</t>
  </si>
  <si>
    <t xml:space="preserve">Zone 14 relocation site</t>
  </si>
  <si>
    <t xml:space="preserve">Temporary relocation site</t>
  </si>
  <si>
    <t xml:space="preserve">Several km from Dutywa</t>
  </si>
  <si>
    <t xml:space="preserve">2012</t>
  </si>
  <si>
    <t xml:space="preserve">400+ families</t>
  </si>
  <si>
    <t xml:space="preserve">No electricity, piped water or houses after 13 years.</t>
  </si>
  <si>
    <t xml:space="preserve">2025-01-27</t>
  </si>
  <si>
    <t xml:space="preserve">https://allafrica.com/stories/202501270002.html</t>
  </si>
  <si>
    <t xml:space="preserve">Makana</t>
  </si>
  <si>
    <t xml:space="preserve">'Transit Camp' settlement</t>
  </si>
  <si>
    <t xml:space="preserve">Transit camp (legacy)</t>
  </si>
  <si>
    <t xml:space="preserve">Ward 5, Makhanda, next to Ext 9/10</t>
  </si>
  <si>
    <t xml:space="preserve">Named settlement still exists (2023).</t>
  </si>
  <si>
    <t xml:space="preserve">2023-03-23</t>
  </si>
  <si>
    <t xml:space="preserve">https://grocotts.ru.ac.za/2023/03/23/residents-of-extensions-nine-10-transit-camp-phumlani-and-enkanini-voice-discontent/</t>
  </si>
  <si>
    <t xml:space="preserve">Site</t>
  </si>
  <si>
    <t xml:space="preserve">What happened</t>
  </si>
  <si>
    <t xml:space="preserve">Source</t>
  </si>
  <si>
    <t xml:space="preserve">George</t>
  </si>
  <si>
    <t xml:space="preserve">Thembalethu UISP TRA erven</t>
  </si>
  <si>
    <t xml:space="preserve">Land used as TRA, later built on</t>
  </si>
  <si>
    <t xml:space="preserve">Probably closed</t>
  </si>
  <si>
    <t xml:space="preserve">https://www.george.gov.za/update-on-uisp-project-thembalethu/</t>
  </si>
  <si>
    <t xml:space="preserve">Bitou</t>
  </si>
  <si>
    <t xml:space="preserve">Bossiesgif temporary housing (proposed)</t>
  </si>
  <si>
    <t xml:space="preserve">Residents refused to move, Mar 2026</t>
  </si>
  <si>
    <t xml:space="preserve">Proposed / refused</t>
  </si>
  <si>
    <t xml:space="preserve">https://www.theherald.co.za/news/2026-03-26-bossiesgif-residents-march-to-bitou-municipal-offices-over-plan-to-move-them/</t>
  </si>
  <si>
    <t xml:space="preserve">Point Road building TEA</t>
  </si>
  <si>
    <t xml:space="preserve">Families moved to Montclair Lodge Jun 2026; remaining evicted Jul 2026</t>
  </si>
  <si>
    <t xml:space="preserve">Closed</t>
  </si>
  <si>
    <t xml:space="preserve">https://groundup.org.za/article/kzn-flood-victims-sleep-outside-after-eviction-from-temporary-accommodation/</t>
  </si>
  <si>
    <t xml:space="preserve">Bayside Hotel / Impala Flats / Bayview Hall (Feb 2025 floods)</t>
  </si>
  <si>
    <t xml:space="preserve">Bayside evicted Jul 2025; moved to Umbilo residence</t>
  </si>
  <si>
    <t xml:space="preserve">https://witness.co.za/news/2025/07/10/durban-flood-victims-left-in-the-cold-after-hotel-eviction/</t>
  </si>
  <si>
    <t xml:space="preserve">2022 flood mass-care centres (~135 halls)</t>
  </si>
  <si>
    <t xml:space="preserve">All closed by 24 Dec 2022</t>
  </si>
  <si>
    <t xml:space="preserve">https://www.sanews.gov.za/south-africa/kzn-flood-victims-relocated-new-accommodation</t>
  </si>
  <si>
    <t xml:space="preserve">Pemilton Ave / Shannon Dr transit camp, Reservoir Hills</t>
  </si>
  <si>
    <t xml:space="preserve">Put on hold May 2022 after opposition</t>
  </si>
  <si>
    <t xml:space="preserve">Never built</t>
  </si>
  <si>
    <t xml:space="preserve">https://www.iol.co.za/thepost/news/reservoir-hills-residents-oppose-ethekwini-municipalitys-plan-to-build-transit-camp-4a66aba6-ff06-4716-b843-427e5f471e4a</t>
  </si>
  <si>
    <t xml:space="preserve">17–29 legacy transit camps decommissioned (names not published)</t>
  </si>
  <si>
    <t xml:space="preserve">eThekwini says 29 of 71 camps cleared by Jun 2024</t>
  </si>
  <si>
    <t xml:space="preserve">3 Kotze Street shelter</t>
  </si>
  <si>
    <t xml:space="preserve">Closed Dec 2023 (structural problems)</t>
  </si>
  <si>
    <t xml:space="preserve">https://www.dailymaverick.co.za/article/2024-10-03-joburg-housing-bid-to-provide-emergency-accommodation-highlights-crisis/</t>
  </si>
  <si>
    <t xml:space="preserve">Rabie Ridge / Ivory Park Covid TRUs</t>
  </si>
  <si>
    <t xml:space="preserve">Dismantled; land occupied by backyarders from Aug 2023</t>
  </si>
  <si>
    <t xml:space="preserve">https://groundup.org.za/article/300-families-from-rabie-ridge-go-to-court-to-fight-their-eviction/</t>
  </si>
  <si>
    <t xml:space="preserve">Ekuthuleni shelter / Linatex building (older TEAs)</t>
  </si>
  <si>
    <t xml:space="preserve">No 2022–26 evidence of use as TEA</t>
  </si>
  <si>
    <t xml:space="preserve">https://www.dailymaverick.co.za/article/2025-03-20-court-slams-city-of-johannesburg-for-failing-to-provide-temporary-shelter-to-evicted-residents/</t>
  </si>
  <si>
    <t xml:space="preserve">Nellmapius Library / Community Hall</t>
  </si>
  <si>
    <t xml:space="preserve">Mostly emptied Aug 2024</t>
  </si>
  <si>
    <t xml:space="preserve">Closed / mostly emptied</t>
  </si>
  <si>
    <t xml:space="preserve">https://www.citizen.co.za/news/south-africa/displaced-mamelodi-flood-victims-uncertain-what-future-holds/</t>
  </si>
  <si>
    <t xml:space="preserve">Church Street student residence, Kariega</t>
  </si>
  <si>
    <t xml:space="preserve">30-day use Jun–Jul 2024, then closed</t>
  </si>
  <si>
    <t xml:space="preserve">https://groundup.org.za/article/kariega-flood-victims-forced-to-move-back-to-sodden-land/</t>
  </si>
  <si>
    <t xml:space="preserve">Mangaung</t>
  </si>
  <si>
    <t xml:space="preserve">Lourier Park / 'Mountain View' settlement</t>
  </si>
  <si>
    <t xml:space="preserve">Relocation settlement for permanent homes (Jun 2026) – not strictly a TRA</t>
  </si>
  <si>
    <t xml:space="preserve">Not a TRA (context)</t>
  </si>
  <si>
    <t xml:space="preserve">https://www.ofm.co.za/article/centralsa/340523/lourier-park-mangaung-metro-presses-ahead-with-formalising-mountain-view-settlement</t>
  </si>
  <si>
    <t xml:space="preserve">Emakhazeni</t>
  </si>
  <si>
    <t xml:space="preserve">Portion 61 Farm Geluk 348 JT</t>
  </si>
  <si>
    <t xml:space="preserve">Court-ordered alternative land for ~65 households (Sep 2025)</t>
  </si>
  <si>
    <t xml:space="preserve">https://www.saflii.org/za/cases/ZAGPPHC/2025/925.html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</si>
</sst>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RAs" displayName="TRAs" ref="A1:P85" headerRowCount="1" totalsRowCount="0" totalsRowShown="0">
  <autoFilter ref="A1:P85"/>
  <tableColumns count="16">
    <tableColumn id="1" name="#"/>
    <tableColumn id="2" name="Province"/>
    <tableColumn id="3" name="Municipality"/>
    <tableColumn id="4" name="Site name / aliases"/>
    <tableColumn id="5" name="Type"/>
    <tableColumn id="6" name="Suburb / landmark"/>
    <tableColumn id="7" name="Approx. latitude"/>
    <tableColumn id="8" name="Approx. longitude"/>
    <tableColumn id="9" name="Coordinate confidence"/>
    <tableColumn id="10" name="Established"/>
    <tableColumn id="11" name="Size (households / units)"/>
    <tableColumn id="12" name="Status"/>
    <tableColumn id="13" name="Status detail (latest source)"/>
    <tableColumn id="14" name="Latest source date"/>
    <tableColumn id="15" name="Source 1"/>
    <tableColumn id="16" name="Source 2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capeargus.co.za/news/2026-07-07-blikkiesdorp-19-years-of-unfulfilled-housing-promises-for-residents/" TargetMode="External"/><Relationship Id="rId2" Type="http://schemas.openxmlformats.org/officeDocument/2006/relationships/hyperlink" Target="https://www.ewn.co.za/2025/03/10/blikkiesdorp-malawi-camp-freedom-farm-residents-excited-to-see-symphony-way-housing-project-resume" TargetMode="External"/><Relationship Id="rId3" Type="http://schemas.openxmlformats.org/officeDocument/2006/relationships/hyperlink" Target="https://www.2oceansvibe.com/politics/mnqasela-tra5-housing-wait-july-2026/" TargetMode="External"/><Relationship Id="rId4" Type="http://schemas.openxmlformats.org/officeDocument/2006/relationships/hyperlink" Target="https://www.wcpp.gov.za/?q=node/11843" TargetMode="External"/><Relationship Id="rId5" Type="http://schemas.openxmlformats.org/officeDocument/2006/relationships/hyperlink" Target="https://iol.co.za/weekend-argus/news/2022-05-08-temporary-housing-rented-out-by-occupants-for-r1-000/" TargetMode="External"/><Relationship Id="rId6" Type="http://schemas.openxmlformats.org/officeDocument/2006/relationships/hyperlink" Target="https://www.wcpp.gov.za/?q=node/11843" TargetMode="External"/><Relationship Id="rId7" Type="http://schemas.openxmlformats.org/officeDocument/2006/relationships/hyperlink" Target="https://www.parliament.gov.za/storage/app/media/Pages/2025/12-09-2025_NCOP_Local_Government_Week/day1/2025-local-government-week-site-profiles-eersterivier-delft-and-mfuleni.pdf" TargetMode="External"/><Relationship Id="rId8" Type="http://schemas.openxmlformats.org/officeDocument/2006/relationships/hyperlink" Target="https://www.wcpp.gov.za/?q=node/11843" TargetMode="External"/><Relationship Id="rId9" Type="http://schemas.openxmlformats.org/officeDocument/2006/relationships/hyperlink" Target="https://groundup.org.za/article/families-moved-to-shipping-containers-by-city-23-years-ago-live-in-dire-conditions/" TargetMode="External"/><Relationship Id="rId10" Type="http://schemas.openxmlformats.org/officeDocument/2006/relationships/hyperlink" Target="https://groundup.org.za/article/gugulethu-residents-lambast-citys-plan-for-them-to-share-land-with-observatory-occupiers/" TargetMode="External"/><Relationship Id="rId11" Type="http://schemas.openxmlformats.org/officeDocument/2006/relationships/hyperlink" Target="https://groundup.org.za/article/families-living-in-temporary-housing-for-over-a-decade-say-city-of-cape-town-has-abandoned-them/" TargetMode="External"/><Relationship Id="rId12" Type="http://schemas.openxmlformats.org/officeDocument/2006/relationships/hyperlink" Target="https://groundup.org.za/article/situation-even-worse-now-in-wolwerivier-say-residents/" TargetMode="External"/><Relationship Id="rId13" Type="http://schemas.openxmlformats.org/officeDocument/2006/relationships/hyperlink" Target="https://www.dailymaverick.co.za/article/2024-01-24-wolwerivier-emergency-housing-camp-is-hell-on-earth-32km-from-heart-of-cape-town/" TargetMode="External"/><Relationship Id="rId14" Type="http://schemas.openxmlformats.org/officeDocument/2006/relationships/hyperlink" Target="https://www.dailymaverick.co.za/article/2023-02-06-supreme-court-of-appeal-finds-cape-town-emergency-housing-programme-in-line-with-constitution/" TargetMode="External"/><Relationship Id="rId15" Type="http://schemas.openxmlformats.org/officeDocument/2006/relationships/hyperlink" Target="https://mkeswell.github.io/UCT_SAHRC_input_original.pdf" TargetMode="External"/><Relationship Id="rId16" Type="http://schemas.openxmlformats.org/officeDocument/2006/relationships/hyperlink" Target="https://groundup.org.za/article/temporary-relocation-of-more-than-880-families-from-railway-in-cape-town-completed/" TargetMode="External"/><Relationship Id="rId17" Type="http://schemas.openxmlformats.org/officeDocument/2006/relationships/hyperlink" Target="https://www.dailymaverick.co.za/article/2024-02-28-scopa-grills-city-of-cape-town-on-relocation-of-prasas-central-line-occupiers/" TargetMode="External"/><Relationship Id="rId18" Type="http://schemas.openxmlformats.org/officeDocument/2006/relationships/hyperlink" Target="https://mkeswell.github.io/UCT_SAHRC_input_original.pdf" TargetMode="External"/><Relationship Id="rId19" Type="http://schemas.openxmlformats.org/officeDocument/2006/relationships/hyperlink" Target="https://groundup.org.za/article/mfuleni-residents-are-tired-of-seeing-the-city-relocate-residents-from-other-townships/" TargetMode="External"/><Relationship Id="rId20" Type="http://schemas.openxmlformats.org/officeDocument/2006/relationships/hyperlink" Target="https://groundup.org.za/article/families-who-occupied-a-cape-town-community-hall-for-eight-years-have-finally-been-moved/" TargetMode="External"/><Relationship Id="rId21" Type="http://schemas.openxmlformats.org/officeDocument/2006/relationships/hyperlink" Target="https://www.news24.com/mixed-emotions-among-bosasa-link-project-residents-as-they-settle-into-new-homes-20240808" TargetMode="External"/><Relationship Id="rId22" Type="http://schemas.openxmlformats.org/officeDocument/2006/relationships/hyperlink" Target="https://novanews.co.za/cityvision/safer-houses-at-temporary-relocation-area-in-mfuleni-cape-town-welcomed-20231123/" TargetMode="External"/><Relationship Id="rId23" Type="http://schemas.openxmlformats.org/officeDocument/2006/relationships/hyperlink" Target="https://www.dailymaverick.co.za/article/sewerage-maintenance-relocation-of-khayeelitsha-families-delayed-after-vandalism/" TargetMode="External"/><Relationship Id="rId24" Type="http://schemas.openxmlformats.org/officeDocument/2006/relationships/hyperlink" Target="https://groundup.org.za/article/protesters-demand-city-of-cape-town-compensate-them-for-destroying-their-homes-and-damaging-their-belongings/" TargetMode="External"/><Relationship Id="rId25" Type="http://schemas.openxmlformats.org/officeDocument/2006/relationships/hyperlink" Target="https://groundup.org.za/article/city-of-cape-town-moves-to-evict-refugees-living-at-two-emergency-housing-sites/" TargetMode="External"/><Relationship Id="rId26" Type="http://schemas.openxmlformats.org/officeDocument/2006/relationships/hyperlink" Target="https://groundup.org.za/article/city-of-cape-town-moves-to-evict-refugees-living-at-two-emergency-housing-sites/" TargetMode="External"/><Relationship Id="rId27" Type="http://schemas.openxmlformats.org/officeDocument/2006/relationships/hyperlink" Target="https://groundup.org.za/article/gugulethu-residents-lambast-citys-plan-for-them-to-share-land-with-observatory-occupiers/" TargetMode="External"/><Relationship Id="rId28" Type="http://schemas.openxmlformats.org/officeDocument/2006/relationships/hyperlink" Target="https://groundup.org.za/article/two-years-survivors-imizamo-yethu-fire-crammed-disused-municipal-buildings/" TargetMode="External"/><Relationship Id="rId29" Type="http://schemas.openxmlformats.org/officeDocument/2006/relationships/hyperlink" Target="https://www.sentinelnews.co.za/news/residents-move-onto-tra-site/" TargetMode="External"/><Relationship Id="rId30" Type="http://schemas.openxmlformats.org/officeDocument/2006/relationships/hyperlink" Target="https://www.bcid.co.za/happy-valley-housing-development/" TargetMode="External"/><Relationship Id="rId31" Type="http://schemas.openxmlformats.org/officeDocument/2006/relationships/hyperlink" Target="https://asla.co.za/project/temporary-relocation-area-tra/" TargetMode="External"/><Relationship Id="rId32" Type="http://schemas.openxmlformats.org/officeDocument/2006/relationships/hyperlink" Target="https://mbuisp.org/homepage/project-overview/tra/" TargetMode="External"/><Relationship Id="rId33" Type="http://schemas.openxmlformats.org/officeDocument/2006/relationships/hyperlink" Target="https://www.smfnews.org/protest-erupts-over-use-of-jamestown-as-a-relocation-area/" TargetMode="External"/><Relationship Id="rId34" Type="http://schemas.openxmlformats.org/officeDocument/2006/relationships/hyperlink" Target="https://pmg.org.za/committee-meeting/39912/" TargetMode="External"/><Relationship Id="rId35" Type="http://schemas.openxmlformats.org/officeDocument/2006/relationships/hyperlink" Target="https://www.researchgate.net/publication/351839856_An_Analysis_of_the_Watergang_Temporary_Relocation_Area_in_Kayamandi_Stellenbosch" TargetMode="External"/><Relationship Id="rId36" Type="http://schemas.openxmlformats.org/officeDocument/2006/relationships/hyperlink" Target="https://www.thehda.co.za/knysna-khayalethu-bungalows-housing-intervention/" TargetMode="External"/><Relationship Id="rId37" Type="http://schemas.openxmlformats.org/officeDocument/2006/relationships/hyperlink" Target="https://groundup.org.za/article/families-relocated-for-2010-world-cup-left-with-overflowing-toilets-flood-damaged-homes-and-broken-promises/" TargetMode="External"/><Relationship Id="rId38" Type="http://schemas.openxmlformats.org/officeDocument/2006/relationships/hyperlink" Target="https://www.iol.co.za/dailynews/news/isipingo-transit-camp-residents-demand-answers-on-new-housing-allocation-plan-0297da16-8d67-46d8-b370-8348da2bd879" TargetMode="External"/><Relationship Id="rId39" Type="http://schemas.openxmlformats.org/officeDocument/2006/relationships/hyperlink" Target="https://www.sanews.gov.za/south-africa/new-homes-isipingo-transit-camp-residents" TargetMode="External"/><Relationship Id="rId40" Type="http://schemas.openxmlformats.org/officeDocument/2006/relationships/hyperlink" Target="https://groundup.org.za/article/transit-camp-homes-are-falling-apart-says-durban-residents/" TargetMode="External"/><Relationship Id="rId41" Type="http://schemas.openxmlformats.org/officeDocument/2006/relationships/hyperlink" Target="https://groundup.org.za/article/living-conditions-at-amaoti-transit-camp-are-inhumane-and-getting-worse-say-residents/" TargetMode="External"/><Relationship Id="rId42" Type="http://schemas.openxmlformats.org/officeDocument/2006/relationships/hyperlink" Target="https://www.dailymaverick.co.za/article/2023-04-04-residents-languish-in-inhumane-ethekwini-transit-camp-11-years-later/" TargetMode="External"/><Relationship Id="rId43" Type="http://schemas.openxmlformats.org/officeDocument/2006/relationships/hyperlink" Target="https://groundup.org.za/article/families-have-been-waiting-six-years-to-be-moved-from-durban-transit-camp/" TargetMode="External"/><Relationship Id="rId44" Type="http://schemas.openxmlformats.org/officeDocument/2006/relationships/hyperlink" Target="https://groundup.org.za/article/families-stuck-in-transit-camp-as-ethekwini-housing-project-remains-incomplete/" TargetMode="External"/><Relationship Id="rId45" Type="http://schemas.openxmlformats.org/officeDocument/2006/relationships/hyperlink" Target="https://iol.co.za/dailynews/news/2024-06-10-no-power-for-the-forgotten-flood-victims/" TargetMode="External"/><Relationship Id="rId46" Type="http://schemas.openxmlformats.org/officeDocument/2006/relationships/hyperlink" Target="https://iol.co.za/dailynews/news/2024-06-10-no-power-for-the-forgotten-flood-victims/" TargetMode="External"/><Relationship Id="rId47" Type="http://schemas.openxmlformats.org/officeDocument/2006/relationships/hyperlink" Target="https://groundup.org.za/article/we-have-been-moved-from-one-place-to-another-says-durban-flood-victim/" TargetMode="External"/><Relationship Id="rId48" Type="http://schemas.openxmlformats.org/officeDocument/2006/relationships/hyperlink" Target="https://iol.co.za/dailynews/news/2024-08-16-siboniso-dumas-grand-plan-to-fully-eradicate-transit-camps/" TargetMode="External"/><Relationship Id="rId49" Type="http://schemas.openxmlformats.org/officeDocument/2006/relationships/hyperlink" Target="https://www.groundup.org.za/article/transit-camp-for-fire-victims-burns-down-in-durban/" TargetMode="External"/><Relationship Id="rId50" Type="http://schemas.openxmlformats.org/officeDocument/2006/relationships/hyperlink" Target="https://allafrica.com/stories/202406110038.html" TargetMode="External"/><Relationship Id="rId51" Type="http://schemas.openxmlformats.org/officeDocument/2006/relationships/hyperlink" Target="https://iol.co.za/dailynews/news/2024-08-16-siboniso-dumas-grand-plan-to-fully-eradicate-transit-camps/" TargetMode="External"/><Relationship Id="rId52" Type="http://schemas.openxmlformats.org/officeDocument/2006/relationships/hyperlink" Target="https://iol.co.za/dailynews/news/2024-08-16-siboniso-dumas-grand-plan-to-fully-eradicate-transit-camps/" TargetMode="External"/><Relationship Id="rId53" Type="http://schemas.openxmlformats.org/officeDocument/2006/relationships/hyperlink" Target="https://kznlegislature.gov.za/human-settlements-pc-visits-transit-camps/" TargetMode="External"/><Relationship Id="rId54" Type="http://schemas.openxmlformats.org/officeDocument/2006/relationships/hyperlink" Target="https://kznlegislature.gov.za/human-settlements-pc-visits-transit-camps/" TargetMode="External"/><Relationship Id="rId55" Type="http://schemas.openxmlformats.org/officeDocument/2006/relationships/hyperlink" Target="https://kznlegislature.gov.za/human-settlements-pc-visits-transit-camps/" TargetMode="External"/><Relationship Id="rId56" Type="http://schemas.openxmlformats.org/officeDocument/2006/relationships/hyperlink" Target="https://kznlegislature.gov.za/human-settlements-pc-visits-transit-camps/" TargetMode="External"/><Relationship Id="rId57" Type="http://schemas.openxmlformats.org/officeDocument/2006/relationships/hyperlink" Target="https://groundup.org.za/article/kzn-flood-victims-stuck-in-emergency-housing-three-years-later/" TargetMode="External"/><Relationship Id="rId58" Type="http://schemas.openxmlformats.org/officeDocument/2006/relationships/hyperlink" Target="https://www.sanews.gov.za/south-africa/kzn-flood-victims-moved-decent-accommodation" TargetMode="External"/><Relationship Id="rId59" Type="http://schemas.openxmlformats.org/officeDocument/2006/relationships/hyperlink" Target="https://iol.co.za/news/south-africa/kwazulu-natal/2026-05-18-durban-flood-victims-finally-receive-keys-to-new-homes-four-years-later/" TargetMode="External"/><Relationship Id="rId60" Type="http://schemas.openxmlformats.org/officeDocument/2006/relationships/hyperlink" Target="https://groundup.org.za/article/kzn-flood-victims-stuck-in-emergency-housing-three-years-later/" TargetMode="External"/><Relationship Id="rId61" Type="http://schemas.openxmlformats.org/officeDocument/2006/relationships/hyperlink" Target="https://groundup.org.za/article/kzn-flood-victims-stuck-in-emergency-housing-three-years-later/" TargetMode="External"/><Relationship Id="rId62" Type="http://schemas.openxmlformats.org/officeDocument/2006/relationships/hyperlink" Target="https://iol.co.za/news/south-africa/kwazulu-natal/2026-05-18-durban-flood-victims-finally-receive-keys-to-new-homes-four-years-later/" TargetMode="External"/><Relationship Id="rId63" Type="http://schemas.openxmlformats.org/officeDocument/2006/relationships/hyperlink" Target="https://witness.co.za/news/2026/05/18/4-000-flood-victims-housed-as-kzn-shifts-to-permanent-homes/" TargetMode="External"/><Relationship Id="rId64" Type="http://schemas.openxmlformats.org/officeDocument/2006/relationships/hyperlink" Target="https://witness.co.za/news/2026/05/18/4-000-flood-victims-housed-as-kzn-shifts-to-permanent-homes/" TargetMode="External"/><Relationship Id="rId65" Type="http://schemas.openxmlformats.org/officeDocument/2006/relationships/hyperlink" Target="https://kzn.da.org.za/2026/09/four-years-after-kzn-floods-families-remain-trapped-in-temporary-shelter" TargetMode="External"/><Relationship Id="rId66" Type="http://schemas.openxmlformats.org/officeDocument/2006/relationships/hyperlink" Target="https://www.sanews.gov.za/south-africa/kzn-flood-victims-moved-decent-accommodation" TargetMode="External"/><Relationship Id="rId67" Type="http://schemas.openxmlformats.org/officeDocument/2006/relationships/hyperlink" Target="https://www.parliament.gov.za/press-releases/media-statement-committee-flood-disaster-calls-ethekwini-municipality-find-permanent-accommodation-flood-victims" TargetMode="External"/><Relationship Id="rId68" Type="http://schemas.openxmlformats.org/officeDocument/2006/relationships/hyperlink" Target="https://www.dailymaverick.co.za/article/2026-08-12-durban-flood-victims-left-on-pavement-as-court-rejects-housing-bid/" TargetMode="External"/><Relationship Id="rId69" Type="http://schemas.openxmlformats.org/officeDocument/2006/relationships/hyperlink" Target="https://sahrc.org.za/index.php/sahrc-media/news-2/item/4503-media-statement-victory-for-human-rights-montclair-lodge-ready-for-occupancy-for-the-victims-of-flooding-following-sahrc-intervention" TargetMode="External"/><Relationship Id="rId70" Type="http://schemas.openxmlformats.org/officeDocument/2006/relationships/hyperlink" Target="https://iol.co.za/news/south-africa/kwazulu-natal/2025-08-12-kwazulu-natal-to-close-emergency-accommodations-for-flood-victims-by-january-2027/" TargetMode="External"/><Relationship Id="rId71" Type="http://schemas.openxmlformats.org/officeDocument/2006/relationships/hyperlink" Target="https://sundaytribune.co.za/news/2025-10-05-flood-victims-struggle-with-strict-rules-at-temporary-accommodation/" TargetMode="External"/><Relationship Id="rId72" Type="http://schemas.openxmlformats.org/officeDocument/2006/relationships/hyperlink" Target="https://www.sabcnews.com/sabcnews/ethekwini-delivers-temporary-homes-to-flood-victims-in-ntshongweni/" TargetMode="External"/><Relationship Id="rId73" Type="http://schemas.openxmlformats.org/officeDocument/2006/relationships/hyperlink" Target="https://www.sowetan.co.za/news/south-africa/2022-12-07-kwadukuza-municipality-moves-closer-to-housing-all-displaced-flood-victims/" TargetMode="External"/><Relationship Id="rId74" Type="http://schemas.openxmlformats.org/officeDocument/2006/relationships/hyperlink" Target="https://pmg.org.za/tabled-committee-report/6010/" TargetMode="External"/><Relationship Id="rId75" Type="http://schemas.openxmlformats.org/officeDocument/2006/relationships/hyperlink" Target="https://groundup.org.za/article/hundreds-stuck-for-years-in-joburgs-temporary-shelters/" TargetMode="External"/><Relationship Id="rId76" Type="http://schemas.openxmlformats.org/officeDocument/2006/relationships/hyperlink" Target="https://www.dailymaverick.co.za/article/2022-02-28-from-bad-to-worse-foreign-nationals-evicted-from-johannesburg-inner-city-relocated-to-squalid-shelter/" TargetMode="External"/><Relationship Id="rId77" Type="http://schemas.openxmlformats.org/officeDocument/2006/relationships/hyperlink" Target="https://www.dailymaverick.co.za/article/2025-10-07-two-years-after-usindiso-fire-survivors-struggle-in-crime-infested-temporary-housing/" TargetMode="External"/><Relationship Id="rId78" Type="http://schemas.openxmlformats.org/officeDocument/2006/relationships/hyperlink" Target="https://www.timeslive.co.za/news/south-africa/2025-08-24-usindiso-fire-survivors-face-new-terror/" TargetMode="External"/><Relationship Id="rId79" Type="http://schemas.openxmlformats.org/officeDocument/2006/relationships/hyperlink" Target="https://joburg.org.za/documents_/Documents/ANNEXURE_A-AND-B.pdf" TargetMode="External"/><Relationship Id="rId80" Type="http://schemas.openxmlformats.org/officeDocument/2006/relationships/hyperlink" Target="https://www.citizen.co.za/news/south-africa/government/city-of-joburg-to-relocate-1600-residents-from-alexandra/" TargetMode="External"/><Relationship Id="rId81" Type="http://schemas.openxmlformats.org/officeDocument/2006/relationships/hyperlink" Target="https://joburg.org.za/documents_/Documents/ANNEXURE_A-AND-B.pdf" TargetMode="External"/><Relationship Id="rId82" Type="http://schemas.openxmlformats.org/officeDocument/2006/relationships/hyperlink" Target="https://www.citizen.co.za/fourways-review/356552/locals-to-be-relocated/" TargetMode="External"/><Relationship Id="rId83" Type="http://schemas.openxmlformats.org/officeDocument/2006/relationships/hyperlink" Target="https://www.vukuzenzele.gov.za/government-urgently-addresses-overcrowding" TargetMode="External"/><Relationship Id="rId84" Type="http://schemas.openxmlformats.org/officeDocument/2006/relationships/hyperlink" Target="https://www.citizen.co.za/roodepoort-record/2020/07/14/construction-of-tra-to-start-in-zandspruit/" TargetMode="External"/><Relationship Id="rId85" Type="http://schemas.openxmlformats.org/officeDocument/2006/relationships/hyperlink" Target="https://www.vukuzenzele.gov.za/government-urgently-addresses-overcrowding" TargetMode="External"/><Relationship Id="rId86" Type="http://schemas.openxmlformats.org/officeDocument/2006/relationships/hyperlink" Target="https://www.vukuzenzele.gov.za/government-urgently-addresses-overcrowding" TargetMode="External"/><Relationship Id="rId87" Type="http://schemas.openxmlformats.org/officeDocument/2006/relationships/hyperlink" Target="https://www.citizen.co.za/rekord/news-headlines/local-news/2026/01/14/water-wastage-and-ageing-infrastructure-trouble-mamelodi-hostel-dwellers/" TargetMode="External"/><Relationship Id="rId88" Type="http://schemas.openxmlformats.org/officeDocument/2006/relationships/hyperlink" Target="https://www.citizen.co.za/rekord/342964/flood-victims-finally-moved-to-safer-place/" TargetMode="External"/><Relationship Id="rId89" Type="http://schemas.openxmlformats.org/officeDocument/2006/relationships/hyperlink" Target="https://www.citizen.co.za/rekord/news-headlines/local-news/2025/10/20/mamelodi-flood-victims-fear-being-forgotten-amid-relocation-delays/" TargetMode="External"/><Relationship Id="rId90" Type="http://schemas.openxmlformats.org/officeDocument/2006/relationships/hyperlink" Target="https://groundup.org.za/article/flood-victims-relocated-by-the-city-to-land-in-mamelodi-are-being-threatened-by-local-residents/" TargetMode="External"/><Relationship Id="rId91" Type="http://schemas.openxmlformats.org/officeDocument/2006/relationships/hyperlink" Target="https://www.dailymaverick.co.za/article/2026-06-15-judge-orders-return-of-n12-families-after-flagrant-rights-violations/" TargetMode="External"/><Relationship Id="rId92" Type="http://schemas.openxmlformats.org/officeDocument/2006/relationships/hyperlink" Target="https://www.ekurhuleni.gov.za/press-releases/human-settlement/city-resettles-families-living-under-eskom-power-pylons-to-a-safer-settlement/" TargetMode="External"/><Relationship Id="rId93" Type="http://schemas.openxmlformats.org/officeDocument/2006/relationships/hyperlink" Target="https://groundup.org.za/article/vandals-strip-temporary-housing-units-in-r42-million-gqeberha-project/" TargetMode="External"/><Relationship Id="rId94" Type="http://schemas.openxmlformats.org/officeDocument/2006/relationships/hyperlink" Target="https://www.theherald.co.za/politics/2025-11-09-abandoned-structures-in-r36m-temporary-housing-project-stripped-by-vandals/" TargetMode="External"/><Relationship Id="rId95" Type="http://schemas.openxmlformats.org/officeDocument/2006/relationships/hyperlink" Target="https://novanews.co.za/udexpress/temporary-housing-becomes-permanent-nightmare/" TargetMode="External"/><Relationship Id="rId96" Type="http://schemas.openxmlformats.org/officeDocument/2006/relationships/hyperlink" Target="https://www.sanews.gov.za/south-africa/relocation-residents-nelson-mandela-bay-flood-prone-areas-progressing-well" TargetMode="External"/><Relationship Id="rId97" Type="http://schemas.openxmlformats.org/officeDocument/2006/relationships/hyperlink" Target="https://groundup.org.za/article/from-leaky-bungalow-to-dream-home-wheelchair-users-6-year-wait-ends/" TargetMode="External"/><Relationship Id="rId98" Type="http://schemas.openxmlformats.org/officeDocument/2006/relationships/hyperlink" Target="https://groundup.org.za/article/families-who-were-moved-into-temporary-shelters-during-covid-pandemic-are-still-waiting-for-their-houses/" TargetMode="External"/><Relationship Id="rId99" Type="http://schemas.openxmlformats.org/officeDocument/2006/relationships/hyperlink" Target="https://groundup.org.za/article/kariega-shackdwellers-threaten-to-move-into-housing-project/" TargetMode="External"/><Relationship Id="rId100" Type="http://schemas.openxmlformats.org/officeDocument/2006/relationships/hyperlink" Target="https://groundup.org.za/article/relocation-project-hold-two-communities-battle-municipality-over-housing-allocations/" TargetMode="External"/><Relationship Id="rId101" Type="http://schemas.openxmlformats.org/officeDocument/2006/relationships/hyperlink" Target="https://www.dailydispatch.co.za/news/2026-01-12-residents-of-mtsotso-demand-action-on-temporary-shelter-conditions/" TargetMode="External"/><Relationship Id="rId102" Type="http://schemas.openxmlformats.org/officeDocument/2006/relationships/hyperlink" Target="https://elitshanews.org.za/2020/07/16/duncan-village-residents-not-happy-with-relocation/" TargetMode="External"/><Relationship Id="rId103" Type="http://schemas.openxmlformats.org/officeDocument/2006/relationships/hyperlink" Target="https://www.dailydispatch.co.za/news/2024-12-12-behind-the-news-a-personal-struggle-with-a-public-housing-fiasco/" TargetMode="External"/><Relationship Id="rId104" Type="http://schemas.openxmlformats.org/officeDocument/2006/relationships/hyperlink" Target="https://www.dailydispatch.co.za/news/2026-07-21-grateful-flood-victims-get-temporary-homes-year-after-disaster/" TargetMode="External"/><Relationship Id="rId105" Type="http://schemas.openxmlformats.org/officeDocument/2006/relationships/hyperlink" Target="https://www.gov.za/news/media-statements/eastern-cape-relocation-mthatha-flood-victims-26-aug-2025" TargetMode="External"/><Relationship Id="rId106" Type="http://schemas.openxmlformats.org/officeDocument/2006/relationships/hyperlink" Target="https://www.dailymaverick.co.za/article/2022-02-23-mthatha-flood-victims-still-waiting-to-be-relocated-after-almost-a-decade/" TargetMode="External"/><Relationship Id="rId107" Type="http://schemas.openxmlformats.org/officeDocument/2006/relationships/hyperlink" Target="https://www.gov.za/news/media-statements/eastern-cape-relocation-mthatha-flood-victims-26-aug-2025" TargetMode="External"/><Relationship Id="rId108" Type="http://schemas.openxmlformats.org/officeDocument/2006/relationships/hyperlink" Target="https://www.enca.com/news/eastern-cape-flood-relocations-face-resistance-butterworth" TargetMode="External"/><Relationship Id="rId109" Type="http://schemas.openxmlformats.org/officeDocument/2006/relationships/hyperlink" Target="https://allafrica.com/stories/202501270002.html" TargetMode="External"/><Relationship Id="rId110" Type="http://schemas.openxmlformats.org/officeDocument/2006/relationships/hyperlink" Target="https://grocotts.ru.ac.za/2023/03/23/residents-of-extensions-nine-10-transit-camp-phumlani-and-enkanini-voice-discontent/" TargetMode="External"/><Relationship Id="rId11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george.gov.za/update-on-uisp-project-thembalethu/" TargetMode="External"/><Relationship Id="rId2" Type="http://schemas.openxmlformats.org/officeDocument/2006/relationships/hyperlink" Target="https://www.theherald.co.za/news/2026-03-26-bossiesgif-residents-march-to-bitou-municipal-offices-over-plan-to-move-them/" TargetMode="External"/><Relationship Id="rId3" Type="http://schemas.openxmlformats.org/officeDocument/2006/relationships/hyperlink" Target="https://groundup.org.za/article/kzn-flood-victims-sleep-outside-after-eviction-from-temporary-accommodation/" TargetMode="External"/><Relationship Id="rId4" Type="http://schemas.openxmlformats.org/officeDocument/2006/relationships/hyperlink" Target="https://witness.co.za/news/2025/07/10/durban-flood-victims-left-in-the-cold-after-hotel-eviction/" TargetMode="External"/><Relationship Id="rId5" Type="http://schemas.openxmlformats.org/officeDocument/2006/relationships/hyperlink" Target="https://www.sanews.gov.za/south-africa/kzn-flood-victims-relocated-new-accommodation" TargetMode="External"/><Relationship Id="rId6" Type="http://schemas.openxmlformats.org/officeDocument/2006/relationships/hyperlink" Target="https://www.iol.co.za/thepost/news/reservoir-hills-residents-oppose-ethekwini-municipalitys-plan-to-build-transit-camp-4a66aba6-ff06-4716-b843-427e5f471e4a" TargetMode="External"/><Relationship Id="rId7" Type="http://schemas.openxmlformats.org/officeDocument/2006/relationships/hyperlink" Target="https://iol.co.za/dailynews/news/2024-06-10-no-power-for-the-forgotten-flood-victims/" TargetMode="External"/><Relationship Id="rId8" Type="http://schemas.openxmlformats.org/officeDocument/2006/relationships/hyperlink" Target="https://www.dailymaverick.co.za/article/2024-10-03-joburg-housing-bid-to-provide-emergency-accommodation-highlights-crisis/" TargetMode="External"/><Relationship Id="rId9" Type="http://schemas.openxmlformats.org/officeDocument/2006/relationships/hyperlink" Target="https://groundup.org.za/article/300-families-from-rabie-ridge-go-to-court-to-fight-their-eviction/" TargetMode="External"/><Relationship Id="rId10" Type="http://schemas.openxmlformats.org/officeDocument/2006/relationships/hyperlink" Target="https://www.dailymaverick.co.za/article/2025-03-20-court-slams-city-of-johannesburg-for-failing-to-provide-temporary-shelter-to-evicted-residents/" TargetMode="External"/><Relationship Id="rId11" Type="http://schemas.openxmlformats.org/officeDocument/2006/relationships/hyperlink" Target="https://www.citizen.co.za/news/south-africa/displaced-mamelodi-flood-victims-uncertain-what-future-holds/" TargetMode="External"/><Relationship Id="rId12" Type="http://schemas.openxmlformats.org/officeDocument/2006/relationships/hyperlink" Target="https://groundup.org.za/article/kariega-flood-victims-forced-to-move-back-to-sodden-land/" TargetMode="External"/><Relationship Id="rId13" Type="http://schemas.openxmlformats.org/officeDocument/2006/relationships/hyperlink" Target="https://www.ofm.co.za/article/centralsa/340523/lourier-park-mangaung-metro-presses-ahead-with-formalising-mountain-view-settlement" TargetMode="External"/><Relationship Id="rId14" Type="http://schemas.openxmlformats.org/officeDocument/2006/relationships/hyperlink" Target="https://www.saflii.org/za/cases/ZAGPPHC/2025/925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20"/>
    <col collapsed="false" customWidth="true" hidden="false" outlineLevel="0" max="6" min="5" style="0" width="3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n">
        <f aca="false">COUNTIF('Existing TRAs'!$B:$B,A5)</f>
        <v>24</v>
      </c>
      <c r="C5" s="4" t="n">
        <f aca="false">COUNTIFS('Existing TRAs'!$B:$B,A5,'Existing TRAs'!$L:$L,"Active*")</f>
        <v>18</v>
      </c>
      <c r="D5" s="4" t="n">
        <f aca="false">COUNTIFS('Existing TRAs'!$B:$B,A5,'Existing TRAs'!$L:$L,"Uncertain*")</f>
        <v>6</v>
      </c>
    </row>
    <row r="6" customFormat="false" ht="15" hidden="false" customHeight="false" outlineLevel="0" collapsed="false">
      <c r="A6" s="4" t="s">
        <v>7</v>
      </c>
      <c r="B6" s="4" t="n">
        <f aca="false">COUNTIF('Existing TRAs'!$B:$B,A6)</f>
        <v>33</v>
      </c>
      <c r="C6" s="4" t="n">
        <f aca="false">COUNTIFS('Existing TRAs'!$B:$B,A6,'Existing TRAs'!$L:$L,"Active*")</f>
        <v>22</v>
      </c>
      <c r="D6" s="4" t="n">
        <f aca="false">COUNTIFS('Existing TRAs'!$B:$B,A6,'Existing TRAs'!$L:$L,"Uncertain*")</f>
        <v>9</v>
      </c>
    </row>
    <row r="7" customFormat="false" ht="15" hidden="false" customHeight="false" outlineLevel="0" collapsed="false">
      <c r="A7" s="4" t="s">
        <v>8</v>
      </c>
      <c r="B7" s="4" t="n">
        <f aca="false">COUNTIF('Existing TRAs'!$B:$B,A7)</f>
        <v>14</v>
      </c>
      <c r="C7" s="4" t="n">
        <f aca="false">COUNTIFS('Existing TRAs'!$B:$B,A7,'Existing TRAs'!$L:$L,"Active*")</f>
        <v>5</v>
      </c>
      <c r="D7" s="4" t="n">
        <f aca="false">COUNTIFS('Existing TRAs'!$B:$B,A7,'Existing TRAs'!$L:$L,"Uncertain*")</f>
        <v>8</v>
      </c>
    </row>
    <row r="8" customFormat="false" ht="15" hidden="false" customHeight="false" outlineLevel="0" collapsed="false">
      <c r="A8" s="4" t="s">
        <v>9</v>
      </c>
      <c r="B8" s="4" t="n">
        <f aca="false">COUNTIF('Existing TRAs'!$B:$B,A8)</f>
        <v>13</v>
      </c>
      <c r="C8" s="4" t="n">
        <f aca="false">COUNTIFS('Existing TRAs'!$B:$B,A8,'Existing TRAs'!$L:$L,"Active*")</f>
        <v>8</v>
      </c>
      <c r="D8" s="4" t="n">
        <f aca="false">COUNTIFS('Existing TRAs'!$B:$B,A8,'Existing TRAs'!$L:$L,"Uncertain*")</f>
        <v>4</v>
      </c>
    </row>
    <row r="9" customFormat="false" ht="15" hidden="false" customHeight="false" outlineLevel="0" collapsed="false">
      <c r="A9" s="4" t="s">
        <v>10</v>
      </c>
      <c r="B9" s="4" t="n">
        <f aca="false">COUNTIF('Existing TRAs'!$B:$B,A9)</f>
        <v>0</v>
      </c>
      <c r="C9" s="4" t="n">
        <f aca="false">COUNTIFS('Existing TRAs'!$B:$B,A9,'Existing TRAs'!$L:$L,"Active*")</f>
        <v>0</v>
      </c>
      <c r="D9" s="4" t="n">
        <f aca="false">COUNTIFS('Existing TRAs'!$B:$B,A9,'Existing TRAs'!$L:$L,"Uncertain*")</f>
        <v>0</v>
      </c>
    </row>
    <row r="10" customFormat="false" ht="15" hidden="false" customHeight="false" outlineLevel="0" collapsed="false">
      <c r="A10" s="4" t="s">
        <v>11</v>
      </c>
      <c r="B10" s="4" t="n">
        <f aca="false">COUNTIF('Existing TRAs'!$B:$B,A10)</f>
        <v>0</v>
      </c>
      <c r="C10" s="4" t="n">
        <f aca="false">COUNTIFS('Existing TRAs'!$B:$B,A10,'Existing TRAs'!$L:$L,"Active*")</f>
        <v>0</v>
      </c>
      <c r="D10" s="4" t="n">
        <f aca="false">COUNTIFS('Existing TRAs'!$B:$B,A10,'Existing TRAs'!$L:$L,"Uncertain*")</f>
        <v>0</v>
      </c>
    </row>
    <row r="11" customFormat="false" ht="15" hidden="false" customHeight="false" outlineLevel="0" collapsed="false">
      <c r="A11" s="4" t="s">
        <v>12</v>
      </c>
      <c r="B11" s="4" t="n">
        <f aca="false">COUNTIF('Existing TRAs'!$B:$B,A11)</f>
        <v>0</v>
      </c>
      <c r="C11" s="4" t="n">
        <f aca="false">COUNTIFS('Existing TRAs'!$B:$B,A11,'Existing TRAs'!$L:$L,"Active*")</f>
        <v>0</v>
      </c>
      <c r="D11" s="4" t="n">
        <f aca="false">COUNTIFS('Existing TRAs'!$B:$B,A11,'Existing TRAs'!$L:$L,"Uncertain*")</f>
        <v>0</v>
      </c>
    </row>
    <row r="12" customFormat="false" ht="15" hidden="false" customHeight="false" outlineLevel="0" collapsed="false">
      <c r="A12" s="4" t="s">
        <v>13</v>
      </c>
      <c r="B12" s="4" t="n">
        <f aca="false">COUNTIF('Existing TRAs'!$B:$B,A12)</f>
        <v>0</v>
      </c>
      <c r="C12" s="4" t="n">
        <f aca="false">COUNTIFS('Existing TRAs'!$B:$B,A12,'Existing TRAs'!$L:$L,"Active*")</f>
        <v>0</v>
      </c>
      <c r="D12" s="4" t="n">
        <f aca="false">COUNTIFS('Existing TRAs'!$B:$B,A12,'Existing TRAs'!$L:$L,"Uncertain*")</f>
        <v>0</v>
      </c>
    </row>
    <row r="13" customFormat="false" ht="15" hidden="false" customHeight="false" outlineLevel="0" collapsed="false">
      <c r="A13" s="4" t="s">
        <v>14</v>
      </c>
      <c r="B13" s="4" t="n">
        <f aca="false">COUNTIF('Existing TRAs'!$B:$B,A13)</f>
        <v>0</v>
      </c>
      <c r="C13" s="4" t="n">
        <f aca="false">COUNTIFS('Existing TRAs'!$B:$B,A13,'Existing TRAs'!$L:$L,"Active*")</f>
        <v>0</v>
      </c>
      <c r="D13" s="4" t="n">
        <f aca="false">COUNTIFS('Existing TRAs'!$B:$B,A13,'Existing TRAs'!$L:$L,"Uncertain*")</f>
        <v>0</v>
      </c>
    </row>
    <row r="14" customFormat="false" ht="15" hidden="false" customHeight="false" outlineLevel="0" collapsed="false">
      <c r="A14" s="5" t="s">
        <v>15</v>
      </c>
      <c r="B14" s="5" t="n">
        <f aca="false">SUM(B5:B13)</f>
        <v>84</v>
      </c>
      <c r="C14" s="5" t="n">
        <f aca="false">SUM(C5:C13)</f>
        <v>53</v>
      </c>
      <c r="D14" s="5" t="n">
        <f aca="false">SUM(D5:D13)</f>
        <v>27</v>
      </c>
    </row>
    <row r="16" customFormat="false" ht="15" hidden="false" customHeight="true" outlineLevel="0" collapsed="false">
      <c r="A16" s="6" t="s">
        <v>16</v>
      </c>
      <c r="B16" s="6"/>
      <c r="C16" s="6"/>
      <c r="D16" s="6"/>
      <c r="E16" s="6"/>
      <c r="F16" s="6"/>
    </row>
    <row r="17" customFormat="false" ht="42" hidden="false" customHeight="true" outlineLevel="0" collapsed="false">
      <c r="A17" s="7" t="s">
        <v>17</v>
      </c>
      <c r="B17" s="7"/>
      <c r="C17" s="7"/>
      <c r="D17" s="7"/>
      <c r="E17" s="7"/>
      <c r="F17" s="7"/>
    </row>
    <row r="18" customFormat="false" ht="42" hidden="false" customHeight="true" outlineLevel="0" collapsed="false">
      <c r="A18" s="7" t="s">
        <v>18</v>
      </c>
      <c r="B18" s="7"/>
      <c r="C18" s="7"/>
      <c r="D18" s="7"/>
      <c r="E18" s="7"/>
      <c r="F18" s="7"/>
    </row>
    <row r="19" customFormat="false" ht="42" hidden="false" customHeight="true" outlineLevel="0" collapsed="false">
      <c r="A19" s="7" t="s">
        <v>19</v>
      </c>
      <c r="B19" s="7"/>
      <c r="C19" s="7"/>
      <c r="D19" s="7"/>
      <c r="E19" s="7"/>
      <c r="F19" s="7"/>
    </row>
    <row r="20" customFormat="false" ht="42" hidden="false" customHeight="true" outlineLevel="0" collapsed="false">
      <c r="A20" s="7" t="s">
        <v>20</v>
      </c>
      <c r="B20" s="7"/>
      <c r="C20" s="7"/>
      <c r="D20" s="7"/>
      <c r="E20" s="7"/>
      <c r="F20" s="7"/>
    </row>
    <row r="21" customFormat="false" ht="42" hidden="false" customHeight="true" outlineLevel="0" collapsed="false">
      <c r="A21" s="7" t="s">
        <v>21</v>
      </c>
      <c r="B21" s="7"/>
      <c r="C21" s="7"/>
      <c r="D21" s="7"/>
      <c r="E21" s="7"/>
      <c r="F21" s="7"/>
    </row>
    <row r="22" customFormat="false" ht="42" hidden="false" customHeight="true" outlineLevel="0" collapsed="false">
      <c r="A22" s="7" t="s">
        <v>22</v>
      </c>
      <c r="B22" s="7"/>
      <c r="C22" s="7"/>
      <c r="D22" s="7"/>
      <c r="E22" s="7"/>
      <c r="F22" s="7"/>
    </row>
    <row r="23" customFormat="false" ht="42" hidden="false" customHeight="true" outlineLevel="0" collapsed="false">
      <c r="A23" s="7" t="s">
        <v>23</v>
      </c>
      <c r="B23" s="7"/>
      <c r="C23" s="7"/>
      <c r="D23" s="7"/>
      <c r="E23" s="7"/>
      <c r="F23" s="7"/>
    </row>
  </sheetData>
  <mergeCells count="8">
    <mergeCell ref="A16:F16"/>
    <mergeCell ref="A17:F17"/>
    <mergeCell ref="A18:F18"/>
    <mergeCell ref="A19:F19"/>
    <mergeCell ref="A20:F20"/>
    <mergeCell ref="A21:F21"/>
    <mergeCell ref="A22:F22"/>
    <mergeCell ref="A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38"/>
    <col collapsed="false" customWidth="true" hidden="false" outlineLevel="0" max="5" min="5" style="0" width="20"/>
    <col collapsed="false" customWidth="true" hidden="false" outlineLevel="0" max="6" min="6" style="0" width="38"/>
    <col collapsed="false" customWidth="true" hidden="false" outlineLevel="0" max="8" min="7" style="0" width="11"/>
    <col collapsed="false" customWidth="true" hidden="false" outlineLevel="0" max="9" min="9" style="0" width="18"/>
    <col collapsed="false" customWidth="true" hidden="false" outlineLevel="0" max="10" min="10" style="0" width="14"/>
    <col collapsed="false" customWidth="true" hidden="false" outlineLevel="0" max="11" min="11" style="0" width="26"/>
    <col collapsed="false" customWidth="true" hidden="false" outlineLevel="0" max="12" min="12" style="0" width="18"/>
    <col collapsed="false" customWidth="true" hidden="false" outlineLevel="0" max="13" min="13" style="0" width="55"/>
    <col collapsed="false" customWidth="true" hidden="false" outlineLevel="0" max="14" min="14" style="0" width="13"/>
    <col collapsed="false" customWidth="true" hidden="false" outlineLevel="0" max="16" min="15" style="0" width="45"/>
  </cols>
  <sheetData>
    <row r="1" customFormat="false" ht="52.2" hidden="false" customHeight="false" outlineLevel="0" collapsed="false">
      <c r="A1" s="8" t="s">
        <v>24</v>
      </c>
      <c r="B1" s="8" t="s">
        <v>2</v>
      </c>
      <c r="C1" s="8" t="s">
        <v>25</v>
      </c>
      <c r="D1" s="8" t="s">
        <v>26</v>
      </c>
      <c r="E1" s="8" t="s">
        <v>27</v>
      </c>
      <c r="F1" s="8" t="s">
        <v>28</v>
      </c>
      <c r="G1" s="8" t="s">
        <v>29</v>
      </c>
      <c r="H1" s="8" t="s">
        <v>30</v>
      </c>
      <c r="I1" s="8" t="s">
        <v>31</v>
      </c>
      <c r="J1" s="8" t="s">
        <v>32</v>
      </c>
      <c r="K1" s="8" t="s">
        <v>33</v>
      </c>
      <c r="L1" s="8" t="s">
        <v>34</v>
      </c>
      <c r="M1" s="8" t="s">
        <v>35</v>
      </c>
      <c r="N1" s="8" t="s">
        <v>36</v>
      </c>
      <c r="O1" s="8" t="s">
        <v>37</v>
      </c>
      <c r="P1" s="8" t="s">
        <v>38</v>
      </c>
    </row>
    <row r="2" customFormat="false" ht="35.05" hidden="false" customHeight="false" outlineLevel="0" collapsed="false">
      <c r="A2" s="9" t="n">
        <v>1</v>
      </c>
      <c r="B2" s="9" t="s">
        <v>6</v>
      </c>
      <c r="C2" s="9" t="s">
        <v>39</v>
      </c>
      <c r="D2" s="9" t="s">
        <v>40</v>
      </c>
      <c r="E2" s="9" t="s">
        <v>41</v>
      </c>
      <c r="F2" s="9" t="s">
        <v>42</v>
      </c>
      <c r="G2" s="10" t="n">
        <v>-33.981</v>
      </c>
      <c r="H2" s="10" t="n">
        <v>18.631</v>
      </c>
      <c r="I2" s="9" t="s">
        <v>43</v>
      </c>
      <c r="J2" s="9" t="s">
        <v>44</v>
      </c>
      <c r="K2" s="9" t="s">
        <v>45</v>
      </c>
      <c r="L2" s="11" t="s">
        <v>46</v>
      </c>
      <c r="M2" s="9" t="s">
        <v>47</v>
      </c>
      <c r="N2" s="9" t="s">
        <v>48</v>
      </c>
      <c r="O2" s="12" t="s">
        <v>49</v>
      </c>
      <c r="P2" s="12" t="s">
        <v>50</v>
      </c>
    </row>
    <row r="3" customFormat="false" ht="23.85" hidden="false" customHeight="false" outlineLevel="0" collapsed="false">
      <c r="A3" s="9" t="n">
        <v>2</v>
      </c>
      <c r="B3" s="9" t="s">
        <v>6</v>
      </c>
      <c r="C3" s="9" t="s">
        <v>51</v>
      </c>
      <c r="D3" s="9" t="s">
        <v>52</v>
      </c>
      <c r="E3" s="9" t="s">
        <v>53</v>
      </c>
      <c r="F3" s="9" t="s">
        <v>54</v>
      </c>
      <c r="G3" s="10" t="n">
        <v>-33.97</v>
      </c>
      <c r="H3" s="10" t="n">
        <v>18.64</v>
      </c>
      <c r="I3" s="9" t="s">
        <v>55</v>
      </c>
      <c r="J3" s="9" t="s">
        <v>56</v>
      </c>
      <c r="K3" s="9" t="s">
        <v>57</v>
      </c>
      <c r="L3" s="11" t="s">
        <v>46</v>
      </c>
      <c r="M3" s="9" t="s">
        <v>58</v>
      </c>
      <c r="N3" s="9" t="s">
        <v>59</v>
      </c>
      <c r="O3" s="12" t="s">
        <v>60</v>
      </c>
      <c r="P3" s="12" t="s">
        <v>61</v>
      </c>
    </row>
    <row r="4" customFormat="false" ht="23.85" hidden="false" customHeight="false" outlineLevel="0" collapsed="false">
      <c r="A4" s="9" t="n">
        <v>3</v>
      </c>
      <c r="B4" s="9" t="s">
        <v>6</v>
      </c>
      <c r="C4" s="9" t="s">
        <v>51</v>
      </c>
      <c r="D4" s="9" t="s">
        <v>62</v>
      </c>
      <c r="E4" s="9" t="s">
        <v>53</v>
      </c>
      <c r="F4" s="9" t="s">
        <v>63</v>
      </c>
      <c r="G4" s="10" t="n">
        <v>-33.97</v>
      </c>
      <c r="H4" s="10" t="n">
        <v>18.64</v>
      </c>
      <c r="I4" s="9" t="s">
        <v>55</v>
      </c>
      <c r="J4" s="9" t="s">
        <v>64</v>
      </c>
      <c r="K4" s="9" t="s">
        <v>65</v>
      </c>
      <c r="L4" s="11" t="s">
        <v>46</v>
      </c>
      <c r="M4" s="9" t="s">
        <v>66</v>
      </c>
      <c r="N4" s="9" t="s">
        <v>67</v>
      </c>
      <c r="O4" s="12" t="s">
        <v>68</v>
      </c>
      <c r="P4" s="12" t="s">
        <v>61</v>
      </c>
    </row>
    <row r="5" customFormat="false" ht="23.85" hidden="false" customHeight="false" outlineLevel="0" collapsed="false">
      <c r="A5" s="9" t="n">
        <v>4</v>
      </c>
      <c r="B5" s="9" t="s">
        <v>6</v>
      </c>
      <c r="C5" s="9" t="s">
        <v>39</v>
      </c>
      <c r="D5" s="9" t="s">
        <v>69</v>
      </c>
      <c r="E5" s="9" t="s">
        <v>70</v>
      </c>
      <c r="F5" s="9" t="s">
        <v>71</v>
      </c>
      <c r="G5" s="10" t="n">
        <v>-33.975</v>
      </c>
      <c r="H5" s="10" t="n">
        <v>18.625</v>
      </c>
      <c r="I5" s="9" t="s">
        <v>55</v>
      </c>
      <c r="J5" s="9" t="s">
        <v>72</v>
      </c>
      <c r="K5" s="9" t="s">
        <v>73</v>
      </c>
      <c r="L5" s="11" t="s">
        <v>46</v>
      </c>
      <c r="M5" s="9" t="s">
        <v>74</v>
      </c>
      <c r="N5" s="9" t="s">
        <v>75</v>
      </c>
      <c r="O5" s="12" t="s">
        <v>76</v>
      </c>
      <c r="P5" s="9"/>
    </row>
    <row r="6" customFormat="false" ht="23.85" hidden="false" customHeight="false" outlineLevel="0" collapsed="false">
      <c r="A6" s="9" t="n">
        <v>5</v>
      </c>
      <c r="B6" s="9" t="s">
        <v>6</v>
      </c>
      <c r="C6" s="9" t="s">
        <v>51</v>
      </c>
      <c r="D6" s="9" t="s">
        <v>77</v>
      </c>
      <c r="E6" s="9" t="s">
        <v>41</v>
      </c>
      <c r="F6" s="9" t="s">
        <v>78</v>
      </c>
      <c r="G6" s="10" t="n">
        <v>-33.94</v>
      </c>
      <c r="H6" s="10" t="n">
        <v>18.54</v>
      </c>
      <c r="I6" s="9" t="s">
        <v>55</v>
      </c>
      <c r="J6" s="9" t="s">
        <v>79</v>
      </c>
      <c r="K6" s="9" t="s">
        <v>80</v>
      </c>
      <c r="L6" s="13" t="s">
        <v>81</v>
      </c>
      <c r="M6" s="9" t="s">
        <v>82</v>
      </c>
      <c r="N6" s="9" t="s">
        <v>83</v>
      </c>
      <c r="O6" s="12" t="s">
        <v>61</v>
      </c>
      <c r="P6" s="9"/>
    </row>
    <row r="7" customFormat="false" ht="23.85" hidden="false" customHeight="false" outlineLevel="0" collapsed="false">
      <c r="A7" s="9" t="n">
        <v>6</v>
      </c>
      <c r="B7" s="9" t="s">
        <v>6</v>
      </c>
      <c r="C7" s="9" t="s">
        <v>39</v>
      </c>
      <c r="D7" s="9" t="s">
        <v>84</v>
      </c>
      <c r="E7" s="9" t="s">
        <v>85</v>
      </c>
      <c r="F7" s="9" t="s">
        <v>86</v>
      </c>
      <c r="G7" s="10" t="n">
        <v>-33.945</v>
      </c>
      <c r="H7" s="10" t="n">
        <v>18.53</v>
      </c>
      <c r="I7" s="9" t="s">
        <v>55</v>
      </c>
      <c r="J7" s="9" t="s">
        <v>87</v>
      </c>
      <c r="K7" s="9" t="s">
        <v>80</v>
      </c>
      <c r="L7" s="11" t="s">
        <v>46</v>
      </c>
      <c r="M7" s="9" t="s">
        <v>88</v>
      </c>
      <c r="N7" s="9" t="s">
        <v>89</v>
      </c>
      <c r="O7" s="12" t="s">
        <v>90</v>
      </c>
      <c r="P7" s="9"/>
    </row>
    <row r="8" customFormat="false" ht="35.05" hidden="false" customHeight="false" outlineLevel="0" collapsed="false">
      <c r="A8" s="9" t="n">
        <v>7</v>
      </c>
      <c r="B8" s="9" t="s">
        <v>6</v>
      </c>
      <c r="C8" s="9" t="s">
        <v>39</v>
      </c>
      <c r="D8" s="9" t="s">
        <v>91</v>
      </c>
      <c r="E8" s="9" t="s">
        <v>41</v>
      </c>
      <c r="F8" s="9" t="s">
        <v>92</v>
      </c>
      <c r="G8" s="10" t="n">
        <v>-33.975</v>
      </c>
      <c r="H8" s="10" t="n">
        <v>18.57</v>
      </c>
      <c r="I8" s="9" t="s">
        <v>55</v>
      </c>
      <c r="J8" s="9" t="s">
        <v>64</v>
      </c>
      <c r="K8" s="9" t="s">
        <v>93</v>
      </c>
      <c r="L8" s="11" t="s">
        <v>46</v>
      </c>
      <c r="M8" s="9" t="s">
        <v>94</v>
      </c>
      <c r="N8" s="9" t="s">
        <v>95</v>
      </c>
      <c r="O8" s="12" t="s">
        <v>96</v>
      </c>
      <c r="P8" s="12" t="s">
        <v>97</v>
      </c>
    </row>
    <row r="9" customFormat="false" ht="23.85" hidden="false" customHeight="false" outlineLevel="0" collapsed="false">
      <c r="A9" s="9" t="n">
        <v>8</v>
      </c>
      <c r="B9" s="9" t="s">
        <v>6</v>
      </c>
      <c r="C9" s="9" t="s">
        <v>39</v>
      </c>
      <c r="D9" s="9" t="s">
        <v>98</v>
      </c>
      <c r="E9" s="9" t="s">
        <v>99</v>
      </c>
      <c r="F9" s="9" t="s">
        <v>100</v>
      </c>
      <c r="G9" s="10" t="n">
        <v>-33.77</v>
      </c>
      <c r="H9" s="10" t="n">
        <v>18.55</v>
      </c>
      <c r="I9" s="9" t="s">
        <v>101</v>
      </c>
      <c r="J9" s="9" t="s">
        <v>102</v>
      </c>
      <c r="K9" s="9" t="s">
        <v>103</v>
      </c>
      <c r="L9" s="11" t="s">
        <v>46</v>
      </c>
      <c r="M9" s="9" t="s">
        <v>104</v>
      </c>
      <c r="N9" s="9" t="s">
        <v>105</v>
      </c>
      <c r="O9" s="12" t="s">
        <v>106</v>
      </c>
      <c r="P9" s="12" t="s">
        <v>107</v>
      </c>
    </row>
    <row r="10" customFormat="false" ht="23.85" hidden="false" customHeight="false" outlineLevel="0" collapsed="false">
      <c r="A10" s="9" t="n">
        <v>9</v>
      </c>
      <c r="B10" s="9" t="s">
        <v>6</v>
      </c>
      <c r="C10" s="9" t="s">
        <v>39</v>
      </c>
      <c r="D10" s="9" t="s">
        <v>108</v>
      </c>
      <c r="E10" s="9" t="s">
        <v>99</v>
      </c>
      <c r="F10" s="9" t="s">
        <v>109</v>
      </c>
      <c r="G10" s="10" t="n">
        <v>-34</v>
      </c>
      <c r="H10" s="10" t="n">
        <v>18.56</v>
      </c>
      <c r="I10" s="9" t="s">
        <v>55</v>
      </c>
      <c r="J10" s="9" t="s">
        <v>110</v>
      </c>
      <c r="K10" s="9" t="s">
        <v>111</v>
      </c>
      <c r="L10" s="11" t="s">
        <v>46</v>
      </c>
      <c r="M10" s="9" t="s">
        <v>112</v>
      </c>
      <c r="N10" s="9" t="s">
        <v>113</v>
      </c>
      <c r="O10" s="12" t="s">
        <v>114</v>
      </c>
      <c r="P10" s="12" t="s">
        <v>115</v>
      </c>
    </row>
    <row r="11" customFormat="false" ht="23.85" hidden="false" customHeight="false" outlineLevel="0" collapsed="false">
      <c r="A11" s="9" t="n">
        <v>10</v>
      </c>
      <c r="B11" s="9" t="s">
        <v>6</v>
      </c>
      <c r="C11" s="9" t="s">
        <v>39</v>
      </c>
      <c r="D11" s="9" t="s">
        <v>116</v>
      </c>
      <c r="E11" s="9" t="s">
        <v>41</v>
      </c>
      <c r="F11" s="9" t="s">
        <v>117</v>
      </c>
      <c r="G11" s="10" t="n">
        <v>-34</v>
      </c>
      <c r="H11" s="10" t="n">
        <v>18.585</v>
      </c>
      <c r="I11" s="9" t="s">
        <v>55</v>
      </c>
      <c r="J11" s="9" t="s">
        <v>118</v>
      </c>
      <c r="K11" s="9" t="s">
        <v>119</v>
      </c>
      <c r="L11" s="11" t="s">
        <v>46</v>
      </c>
      <c r="M11" s="9" t="s">
        <v>120</v>
      </c>
      <c r="N11" s="9" t="s">
        <v>121</v>
      </c>
      <c r="O11" s="12" t="s">
        <v>122</v>
      </c>
      <c r="P11" s="12" t="s">
        <v>123</v>
      </c>
    </row>
    <row r="12" customFormat="false" ht="23.85" hidden="false" customHeight="false" outlineLevel="0" collapsed="false">
      <c r="A12" s="9" t="n">
        <v>11</v>
      </c>
      <c r="B12" s="9" t="s">
        <v>6</v>
      </c>
      <c r="C12" s="9" t="s">
        <v>39</v>
      </c>
      <c r="D12" s="9" t="s">
        <v>124</v>
      </c>
      <c r="E12" s="9" t="s">
        <v>41</v>
      </c>
      <c r="F12" s="9" t="s">
        <v>125</v>
      </c>
      <c r="G12" s="10" t="n">
        <v>-34.01</v>
      </c>
      <c r="H12" s="10" t="n">
        <v>18.69</v>
      </c>
      <c r="I12" s="9" t="s">
        <v>55</v>
      </c>
      <c r="J12" s="9" t="s">
        <v>126</v>
      </c>
      <c r="K12" s="9" t="s">
        <v>127</v>
      </c>
      <c r="L12" s="11" t="s">
        <v>46</v>
      </c>
      <c r="M12" s="9" t="s">
        <v>128</v>
      </c>
      <c r="N12" s="9" t="s">
        <v>113</v>
      </c>
      <c r="O12" s="12" t="s">
        <v>115</v>
      </c>
      <c r="P12" s="12" t="s">
        <v>129</v>
      </c>
    </row>
    <row r="13" customFormat="false" ht="23.85" hidden="false" customHeight="false" outlineLevel="0" collapsed="false">
      <c r="A13" s="9" t="n">
        <v>12</v>
      </c>
      <c r="B13" s="9" t="s">
        <v>6</v>
      </c>
      <c r="C13" s="9" t="s">
        <v>39</v>
      </c>
      <c r="D13" s="9" t="s">
        <v>130</v>
      </c>
      <c r="E13" s="9" t="s">
        <v>131</v>
      </c>
      <c r="F13" s="9" t="s">
        <v>132</v>
      </c>
      <c r="G13" s="10" t="n">
        <v>-34.02</v>
      </c>
      <c r="H13" s="10" t="n">
        <v>18.7</v>
      </c>
      <c r="I13" s="9" t="s">
        <v>55</v>
      </c>
      <c r="J13" s="9" t="s">
        <v>133</v>
      </c>
      <c r="K13" s="9" t="s">
        <v>134</v>
      </c>
      <c r="L13" s="11" t="s">
        <v>46</v>
      </c>
      <c r="M13" s="9" t="s">
        <v>135</v>
      </c>
      <c r="N13" s="9" t="s">
        <v>136</v>
      </c>
      <c r="O13" s="12" t="s">
        <v>137</v>
      </c>
      <c r="P13" s="12" t="s">
        <v>138</v>
      </c>
    </row>
    <row r="14" customFormat="false" ht="23.85" hidden="false" customHeight="false" outlineLevel="0" collapsed="false">
      <c r="A14" s="9" t="n">
        <v>13</v>
      </c>
      <c r="B14" s="9" t="s">
        <v>6</v>
      </c>
      <c r="C14" s="9" t="s">
        <v>39</v>
      </c>
      <c r="D14" s="9" t="s">
        <v>139</v>
      </c>
      <c r="E14" s="9" t="s">
        <v>41</v>
      </c>
      <c r="F14" s="9" t="s">
        <v>140</v>
      </c>
      <c r="G14" s="10" t="n">
        <v>-34</v>
      </c>
      <c r="H14" s="10" t="n">
        <v>18.69</v>
      </c>
      <c r="I14" s="9" t="s">
        <v>55</v>
      </c>
      <c r="J14" s="9" t="s">
        <v>141</v>
      </c>
      <c r="K14" s="9" t="s">
        <v>142</v>
      </c>
      <c r="L14" s="11" t="s">
        <v>46</v>
      </c>
      <c r="M14" s="9" t="s">
        <v>143</v>
      </c>
      <c r="N14" s="9" t="s">
        <v>144</v>
      </c>
      <c r="O14" s="12" t="s">
        <v>145</v>
      </c>
      <c r="P14" s="9"/>
    </row>
    <row r="15" customFormat="false" ht="23.85" hidden="false" customHeight="false" outlineLevel="0" collapsed="false">
      <c r="A15" s="9" t="n">
        <v>14</v>
      </c>
      <c r="B15" s="9" t="s">
        <v>6</v>
      </c>
      <c r="C15" s="9" t="s">
        <v>39</v>
      </c>
      <c r="D15" s="9" t="s">
        <v>146</v>
      </c>
      <c r="E15" s="9" t="s">
        <v>41</v>
      </c>
      <c r="F15" s="9" t="s">
        <v>147</v>
      </c>
      <c r="G15" s="10" t="n">
        <v>-34.04</v>
      </c>
      <c r="H15" s="10" t="n">
        <v>18.67</v>
      </c>
      <c r="I15" s="9" t="s">
        <v>55</v>
      </c>
      <c r="J15" s="9" t="s">
        <v>148</v>
      </c>
      <c r="K15" s="9" t="s">
        <v>149</v>
      </c>
      <c r="L15" s="11" t="s">
        <v>150</v>
      </c>
      <c r="M15" s="9" t="s">
        <v>151</v>
      </c>
      <c r="N15" s="9" t="s">
        <v>152</v>
      </c>
      <c r="O15" s="12" t="s">
        <v>153</v>
      </c>
      <c r="P15" s="12" t="s">
        <v>154</v>
      </c>
    </row>
    <row r="16" customFormat="false" ht="23.85" hidden="false" customHeight="false" outlineLevel="0" collapsed="false">
      <c r="A16" s="9" t="n">
        <v>15</v>
      </c>
      <c r="B16" s="9" t="s">
        <v>6</v>
      </c>
      <c r="C16" s="9" t="s">
        <v>39</v>
      </c>
      <c r="D16" s="9" t="s">
        <v>155</v>
      </c>
      <c r="E16" s="9" t="s">
        <v>156</v>
      </c>
      <c r="F16" s="9" t="s">
        <v>157</v>
      </c>
      <c r="G16" s="10" t="n">
        <v>-33.915</v>
      </c>
      <c r="H16" s="10" t="n">
        <v>18.51</v>
      </c>
      <c r="I16" s="9" t="s">
        <v>55</v>
      </c>
      <c r="J16" s="9" t="s">
        <v>158</v>
      </c>
      <c r="K16" s="9" t="s">
        <v>159</v>
      </c>
      <c r="L16" s="11" t="s">
        <v>160</v>
      </c>
      <c r="M16" s="9" t="s">
        <v>161</v>
      </c>
      <c r="N16" s="9" t="s">
        <v>162</v>
      </c>
      <c r="O16" s="12" t="s">
        <v>163</v>
      </c>
      <c r="P16" s="9"/>
    </row>
    <row r="17" customFormat="false" ht="23.85" hidden="false" customHeight="false" outlineLevel="0" collapsed="false">
      <c r="A17" s="9" t="n">
        <v>16</v>
      </c>
      <c r="B17" s="9" t="s">
        <v>6</v>
      </c>
      <c r="C17" s="9" t="s">
        <v>39</v>
      </c>
      <c r="D17" s="9" t="s">
        <v>164</v>
      </c>
      <c r="E17" s="9" t="s">
        <v>156</v>
      </c>
      <c r="F17" s="9" t="s">
        <v>165</v>
      </c>
      <c r="G17" s="10" t="n">
        <v>-33.89</v>
      </c>
      <c r="H17" s="10" t="n">
        <v>18.63</v>
      </c>
      <c r="I17" s="9" t="s">
        <v>55</v>
      </c>
      <c r="J17" s="9" t="s">
        <v>158</v>
      </c>
      <c r="K17" s="9" t="s">
        <v>80</v>
      </c>
      <c r="L17" s="11" t="s">
        <v>160</v>
      </c>
      <c r="M17" s="9" t="s">
        <v>161</v>
      </c>
      <c r="N17" s="9" t="s">
        <v>162</v>
      </c>
      <c r="O17" s="12" t="s">
        <v>163</v>
      </c>
      <c r="P17" s="9"/>
    </row>
    <row r="18" customFormat="false" ht="23.85" hidden="false" customHeight="false" outlineLevel="0" collapsed="false">
      <c r="A18" s="9" t="n">
        <v>17</v>
      </c>
      <c r="B18" s="9" t="s">
        <v>6</v>
      </c>
      <c r="C18" s="9" t="s">
        <v>39</v>
      </c>
      <c r="D18" s="9" t="s">
        <v>166</v>
      </c>
      <c r="E18" s="9" t="s">
        <v>131</v>
      </c>
      <c r="F18" s="9" t="s">
        <v>167</v>
      </c>
      <c r="G18" s="10"/>
      <c r="H18" s="10"/>
      <c r="I18" s="9" t="s">
        <v>168</v>
      </c>
      <c r="J18" s="9" t="s">
        <v>169</v>
      </c>
      <c r="K18" s="9" t="s">
        <v>80</v>
      </c>
      <c r="L18" s="11" t="s">
        <v>170</v>
      </c>
      <c r="M18" s="9" t="s">
        <v>171</v>
      </c>
      <c r="N18" s="9" t="s">
        <v>95</v>
      </c>
      <c r="O18" s="12" t="s">
        <v>96</v>
      </c>
      <c r="P18" s="9"/>
    </row>
    <row r="19" customFormat="false" ht="23.85" hidden="false" customHeight="false" outlineLevel="0" collapsed="false">
      <c r="A19" s="9" t="n">
        <v>18</v>
      </c>
      <c r="B19" s="9" t="s">
        <v>6</v>
      </c>
      <c r="C19" s="9" t="s">
        <v>39</v>
      </c>
      <c r="D19" s="9" t="s">
        <v>172</v>
      </c>
      <c r="E19" s="9" t="s">
        <v>41</v>
      </c>
      <c r="F19" s="9" t="s">
        <v>173</v>
      </c>
      <c r="G19" s="10" t="n">
        <v>-34.03</v>
      </c>
      <c r="H19" s="10" t="n">
        <v>18.36</v>
      </c>
      <c r="I19" s="9" t="s">
        <v>55</v>
      </c>
      <c r="J19" s="9" t="s">
        <v>174</v>
      </c>
      <c r="K19" s="9" t="s">
        <v>175</v>
      </c>
      <c r="L19" s="13" t="s">
        <v>81</v>
      </c>
      <c r="M19" s="9" t="s">
        <v>176</v>
      </c>
      <c r="N19" s="9" t="s">
        <v>177</v>
      </c>
      <c r="O19" s="12" t="s">
        <v>178</v>
      </c>
      <c r="P19" s="12" t="s">
        <v>179</v>
      </c>
    </row>
    <row r="20" customFormat="false" ht="15" hidden="false" customHeight="false" outlineLevel="0" collapsed="false">
      <c r="A20" s="9" t="n">
        <v>19</v>
      </c>
      <c r="B20" s="9" t="s">
        <v>6</v>
      </c>
      <c r="C20" s="9" t="s">
        <v>39</v>
      </c>
      <c r="D20" s="9" t="s">
        <v>180</v>
      </c>
      <c r="E20" s="9" t="s">
        <v>181</v>
      </c>
      <c r="F20" s="9" t="s">
        <v>182</v>
      </c>
      <c r="G20" s="10" t="n">
        <v>-33.97</v>
      </c>
      <c r="H20" s="10" t="n">
        <v>18.7</v>
      </c>
      <c r="I20" s="9" t="s">
        <v>55</v>
      </c>
      <c r="J20" s="9" t="s">
        <v>183</v>
      </c>
      <c r="K20" s="9" t="s">
        <v>80</v>
      </c>
      <c r="L20" s="13" t="s">
        <v>81</v>
      </c>
      <c r="M20" s="9" t="s">
        <v>184</v>
      </c>
      <c r="N20" s="9" t="s">
        <v>185</v>
      </c>
      <c r="O20" s="12" t="s">
        <v>186</v>
      </c>
      <c r="P20" s="9"/>
    </row>
    <row r="21" customFormat="false" ht="23.85" hidden="false" customHeight="false" outlineLevel="0" collapsed="false">
      <c r="A21" s="9" t="n">
        <v>20</v>
      </c>
      <c r="B21" s="9" t="s">
        <v>6</v>
      </c>
      <c r="C21" s="9" t="s">
        <v>187</v>
      </c>
      <c r="D21" s="9" t="s">
        <v>188</v>
      </c>
      <c r="E21" s="9" t="s">
        <v>189</v>
      </c>
      <c r="F21" s="9" t="s">
        <v>190</v>
      </c>
      <c r="G21" s="10" t="n">
        <v>-34.17</v>
      </c>
      <c r="H21" s="10" t="n">
        <v>22.1</v>
      </c>
      <c r="I21" s="9" t="s">
        <v>55</v>
      </c>
      <c r="J21" s="9" t="s">
        <v>191</v>
      </c>
      <c r="K21" s="9" t="s">
        <v>192</v>
      </c>
      <c r="L21" s="13" t="s">
        <v>81</v>
      </c>
      <c r="M21" s="9" t="s">
        <v>193</v>
      </c>
      <c r="N21" s="9" t="s">
        <v>194</v>
      </c>
      <c r="O21" s="12" t="s">
        <v>195</v>
      </c>
      <c r="P21" s="12" t="s">
        <v>196</v>
      </c>
    </row>
    <row r="22" customFormat="false" ht="15" hidden="false" customHeight="false" outlineLevel="0" collapsed="false">
      <c r="A22" s="9" t="n">
        <v>21</v>
      </c>
      <c r="B22" s="9" t="s">
        <v>6</v>
      </c>
      <c r="C22" s="9" t="s">
        <v>197</v>
      </c>
      <c r="D22" s="9" t="s">
        <v>198</v>
      </c>
      <c r="E22" s="9" t="s">
        <v>41</v>
      </c>
      <c r="F22" s="9" t="s">
        <v>199</v>
      </c>
      <c r="G22" s="10" t="n">
        <v>-33.98</v>
      </c>
      <c r="H22" s="10" t="n">
        <v>18.84</v>
      </c>
      <c r="I22" s="9" t="s">
        <v>55</v>
      </c>
      <c r="J22" s="9" t="s">
        <v>79</v>
      </c>
      <c r="K22" s="9" t="s">
        <v>80</v>
      </c>
      <c r="L22" s="11" t="s">
        <v>46</v>
      </c>
      <c r="M22" s="9" t="s">
        <v>200</v>
      </c>
      <c r="N22" s="9" t="s">
        <v>201</v>
      </c>
      <c r="O22" s="12" t="s">
        <v>202</v>
      </c>
      <c r="P22" s="9"/>
    </row>
    <row r="23" customFormat="false" ht="15" hidden="false" customHeight="false" outlineLevel="0" collapsed="false">
      <c r="A23" s="9" t="n">
        <v>22</v>
      </c>
      <c r="B23" s="9" t="s">
        <v>6</v>
      </c>
      <c r="C23" s="9" t="s">
        <v>197</v>
      </c>
      <c r="D23" s="9" t="s">
        <v>203</v>
      </c>
      <c r="E23" s="9" t="s">
        <v>181</v>
      </c>
      <c r="F23" s="9" t="s">
        <v>204</v>
      </c>
      <c r="G23" s="10" t="n">
        <v>-33.92</v>
      </c>
      <c r="H23" s="10" t="n">
        <v>18.85</v>
      </c>
      <c r="I23" s="9" t="s">
        <v>55</v>
      </c>
      <c r="J23" s="9" t="s">
        <v>205</v>
      </c>
      <c r="K23" s="9" t="s">
        <v>80</v>
      </c>
      <c r="L23" s="13" t="s">
        <v>81</v>
      </c>
      <c r="M23" s="9" t="s">
        <v>206</v>
      </c>
      <c r="N23" s="9" t="s">
        <v>207</v>
      </c>
      <c r="O23" s="12" t="s">
        <v>208</v>
      </c>
      <c r="P23" s="9"/>
    </row>
    <row r="24" customFormat="false" ht="15" hidden="false" customHeight="false" outlineLevel="0" collapsed="false">
      <c r="A24" s="9" t="n">
        <v>23</v>
      </c>
      <c r="B24" s="9" t="s">
        <v>6</v>
      </c>
      <c r="C24" s="9" t="s">
        <v>197</v>
      </c>
      <c r="D24" s="9" t="s">
        <v>209</v>
      </c>
      <c r="E24" s="9" t="s">
        <v>41</v>
      </c>
      <c r="F24" s="9" t="s">
        <v>204</v>
      </c>
      <c r="G24" s="10" t="n">
        <v>-33.92</v>
      </c>
      <c r="H24" s="10" t="n">
        <v>18.85</v>
      </c>
      <c r="I24" s="9" t="s">
        <v>55</v>
      </c>
      <c r="J24" s="9" t="s">
        <v>210</v>
      </c>
      <c r="K24" s="9" t="s">
        <v>80</v>
      </c>
      <c r="L24" s="13" t="s">
        <v>81</v>
      </c>
      <c r="M24" s="9" t="s">
        <v>211</v>
      </c>
      <c r="N24" s="9" t="s">
        <v>212</v>
      </c>
      <c r="O24" s="12" t="s">
        <v>213</v>
      </c>
      <c r="P24" s="9"/>
    </row>
    <row r="25" customFormat="false" ht="15" hidden="false" customHeight="false" outlineLevel="0" collapsed="false">
      <c r="A25" s="9" t="n">
        <v>24</v>
      </c>
      <c r="B25" s="9" t="s">
        <v>6</v>
      </c>
      <c r="C25" s="9" t="s">
        <v>214</v>
      </c>
      <c r="D25" s="9" t="s">
        <v>215</v>
      </c>
      <c r="E25" s="9" t="s">
        <v>216</v>
      </c>
      <c r="F25" s="9" t="s">
        <v>217</v>
      </c>
      <c r="G25" s="10" t="n">
        <v>-34.03</v>
      </c>
      <c r="H25" s="10" t="n">
        <v>23.05</v>
      </c>
      <c r="I25" s="9" t="s">
        <v>55</v>
      </c>
      <c r="J25" s="9" t="s">
        <v>218</v>
      </c>
      <c r="K25" s="9" t="s">
        <v>219</v>
      </c>
      <c r="L25" s="11" t="s">
        <v>46</v>
      </c>
      <c r="M25" s="9" t="s">
        <v>220</v>
      </c>
      <c r="N25" s="9" t="s">
        <v>221</v>
      </c>
      <c r="O25" s="12" t="s">
        <v>222</v>
      </c>
      <c r="P25" s="9"/>
    </row>
    <row r="26" customFormat="false" ht="23.85" hidden="false" customHeight="false" outlineLevel="0" collapsed="false">
      <c r="A26" s="9" t="n">
        <v>25</v>
      </c>
      <c r="B26" s="9" t="s">
        <v>7</v>
      </c>
      <c r="C26" s="9" t="s">
        <v>223</v>
      </c>
      <c r="D26" s="9" t="s">
        <v>224</v>
      </c>
      <c r="E26" s="9" t="s">
        <v>225</v>
      </c>
      <c r="F26" s="9" t="s">
        <v>226</v>
      </c>
      <c r="G26" s="10" t="n">
        <v>-29.98</v>
      </c>
      <c r="H26" s="10" t="n">
        <v>30.9</v>
      </c>
      <c r="I26" s="9" t="s">
        <v>55</v>
      </c>
      <c r="J26" s="9" t="s">
        <v>227</v>
      </c>
      <c r="K26" s="9" t="s">
        <v>228</v>
      </c>
      <c r="L26" s="11" t="s">
        <v>46</v>
      </c>
      <c r="M26" s="9" t="s">
        <v>229</v>
      </c>
      <c r="N26" s="9" t="s">
        <v>230</v>
      </c>
      <c r="O26" s="12" t="s">
        <v>231</v>
      </c>
      <c r="P26" s="9"/>
    </row>
    <row r="27" customFormat="false" ht="23.85" hidden="false" customHeight="false" outlineLevel="0" collapsed="false">
      <c r="A27" s="9" t="n">
        <v>26</v>
      </c>
      <c r="B27" s="9" t="s">
        <v>7</v>
      </c>
      <c r="C27" s="9" t="s">
        <v>223</v>
      </c>
      <c r="D27" s="9" t="s">
        <v>232</v>
      </c>
      <c r="E27" s="9" t="s">
        <v>225</v>
      </c>
      <c r="F27" s="9" t="s">
        <v>233</v>
      </c>
      <c r="G27" s="10" t="n">
        <v>-29.98</v>
      </c>
      <c r="H27" s="10" t="n">
        <v>30.93</v>
      </c>
      <c r="I27" s="9" t="s">
        <v>55</v>
      </c>
      <c r="J27" s="9" t="s">
        <v>234</v>
      </c>
      <c r="K27" s="9" t="s">
        <v>235</v>
      </c>
      <c r="L27" s="14" t="s">
        <v>236</v>
      </c>
      <c r="M27" s="9" t="s">
        <v>237</v>
      </c>
      <c r="N27" s="9" t="s">
        <v>238</v>
      </c>
      <c r="O27" s="12" t="s">
        <v>239</v>
      </c>
      <c r="P27" s="12" t="s">
        <v>240</v>
      </c>
    </row>
    <row r="28" customFormat="false" ht="23.85" hidden="false" customHeight="false" outlineLevel="0" collapsed="false">
      <c r="A28" s="9" t="n">
        <v>27</v>
      </c>
      <c r="B28" s="9" t="s">
        <v>7</v>
      </c>
      <c r="C28" s="9" t="s">
        <v>223</v>
      </c>
      <c r="D28" s="9" t="s">
        <v>241</v>
      </c>
      <c r="E28" s="9" t="s">
        <v>225</v>
      </c>
      <c r="F28" s="9" t="s">
        <v>242</v>
      </c>
      <c r="G28" s="10" t="n">
        <v>-29.78</v>
      </c>
      <c r="H28" s="10" t="n">
        <v>30.88</v>
      </c>
      <c r="I28" s="9" t="s">
        <v>55</v>
      </c>
      <c r="J28" s="9" t="s">
        <v>227</v>
      </c>
      <c r="K28" s="9" t="s">
        <v>243</v>
      </c>
      <c r="L28" s="11" t="s">
        <v>46</v>
      </c>
      <c r="M28" s="9" t="s">
        <v>244</v>
      </c>
      <c r="N28" s="9" t="s">
        <v>245</v>
      </c>
      <c r="O28" s="12" t="s">
        <v>246</v>
      </c>
      <c r="P28" s="9"/>
    </row>
    <row r="29" customFormat="false" ht="15" hidden="false" customHeight="false" outlineLevel="0" collapsed="false">
      <c r="A29" s="9" t="n">
        <v>28</v>
      </c>
      <c r="B29" s="9" t="s">
        <v>7</v>
      </c>
      <c r="C29" s="9" t="s">
        <v>223</v>
      </c>
      <c r="D29" s="9" t="s">
        <v>247</v>
      </c>
      <c r="E29" s="9" t="s">
        <v>225</v>
      </c>
      <c r="F29" s="9" t="s">
        <v>248</v>
      </c>
      <c r="G29" s="10" t="n">
        <v>-29.665</v>
      </c>
      <c r="H29" s="10" t="n">
        <v>30.99</v>
      </c>
      <c r="I29" s="9" t="s">
        <v>55</v>
      </c>
      <c r="J29" s="9" t="s">
        <v>249</v>
      </c>
      <c r="K29" s="9" t="s">
        <v>250</v>
      </c>
      <c r="L29" s="11" t="s">
        <v>46</v>
      </c>
      <c r="M29" s="9" t="s">
        <v>251</v>
      </c>
      <c r="N29" s="9" t="s">
        <v>252</v>
      </c>
      <c r="O29" s="12" t="s">
        <v>253</v>
      </c>
      <c r="P29" s="12" t="s">
        <v>254</v>
      </c>
    </row>
    <row r="30" customFormat="false" ht="15" hidden="false" customHeight="false" outlineLevel="0" collapsed="false">
      <c r="A30" s="9" t="n">
        <v>29</v>
      </c>
      <c r="B30" s="9" t="s">
        <v>7</v>
      </c>
      <c r="C30" s="9" t="s">
        <v>223</v>
      </c>
      <c r="D30" s="9" t="s">
        <v>255</v>
      </c>
      <c r="E30" s="9" t="s">
        <v>225</v>
      </c>
      <c r="F30" s="9" t="s">
        <v>256</v>
      </c>
      <c r="G30" s="10" t="n">
        <v>-29.72</v>
      </c>
      <c r="H30" s="10" t="n">
        <v>30.95</v>
      </c>
      <c r="I30" s="9" t="s">
        <v>55</v>
      </c>
      <c r="J30" s="9" t="s">
        <v>79</v>
      </c>
      <c r="K30" s="9" t="s">
        <v>257</v>
      </c>
      <c r="L30" s="11" t="s">
        <v>46</v>
      </c>
      <c r="M30" s="9" t="s">
        <v>258</v>
      </c>
      <c r="N30" s="9" t="s">
        <v>259</v>
      </c>
      <c r="O30" s="12" t="s">
        <v>260</v>
      </c>
      <c r="P30" s="9"/>
    </row>
    <row r="31" customFormat="false" ht="15" hidden="false" customHeight="false" outlineLevel="0" collapsed="false">
      <c r="A31" s="9" t="n">
        <v>30</v>
      </c>
      <c r="B31" s="9" t="s">
        <v>7</v>
      </c>
      <c r="C31" s="9" t="s">
        <v>223</v>
      </c>
      <c r="D31" s="9" t="s">
        <v>261</v>
      </c>
      <c r="E31" s="9" t="s">
        <v>225</v>
      </c>
      <c r="F31" s="9" t="s">
        <v>262</v>
      </c>
      <c r="G31" s="10" t="n">
        <v>-29.56</v>
      </c>
      <c r="H31" s="10" t="n">
        <v>31.11</v>
      </c>
      <c r="I31" s="9" t="s">
        <v>55</v>
      </c>
      <c r="J31" s="9" t="s">
        <v>263</v>
      </c>
      <c r="K31" s="9" t="s">
        <v>264</v>
      </c>
      <c r="L31" s="11" t="s">
        <v>46</v>
      </c>
      <c r="M31" s="9" t="s">
        <v>265</v>
      </c>
      <c r="N31" s="9" t="s">
        <v>266</v>
      </c>
      <c r="O31" s="12" t="s">
        <v>267</v>
      </c>
      <c r="P31" s="9"/>
    </row>
    <row r="32" customFormat="false" ht="23.85" hidden="false" customHeight="false" outlineLevel="0" collapsed="false">
      <c r="A32" s="9" t="n">
        <v>31</v>
      </c>
      <c r="B32" s="9" t="s">
        <v>7</v>
      </c>
      <c r="C32" s="9" t="s">
        <v>223</v>
      </c>
      <c r="D32" s="9" t="s">
        <v>268</v>
      </c>
      <c r="E32" s="9" t="s">
        <v>225</v>
      </c>
      <c r="F32" s="9" t="s">
        <v>269</v>
      </c>
      <c r="G32" s="10" t="n">
        <v>-29.7</v>
      </c>
      <c r="H32" s="10" t="n">
        <v>30.96</v>
      </c>
      <c r="I32" s="9" t="s">
        <v>55</v>
      </c>
      <c r="J32" s="9" t="s">
        <v>270</v>
      </c>
      <c r="K32" s="9" t="s">
        <v>271</v>
      </c>
      <c r="L32" s="11" t="s">
        <v>46</v>
      </c>
      <c r="M32" s="9" t="s">
        <v>272</v>
      </c>
      <c r="N32" s="9" t="s">
        <v>273</v>
      </c>
      <c r="O32" s="12" t="s">
        <v>274</v>
      </c>
      <c r="P32" s="9"/>
    </row>
    <row r="33" customFormat="false" ht="23.85" hidden="false" customHeight="false" outlineLevel="0" collapsed="false">
      <c r="A33" s="9" t="n">
        <v>32</v>
      </c>
      <c r="B33" s="9" t="s">
        <v>7</v>
      </c>
      <c r="C33" s="9" t="s">
        <v>223</v>
      </c>
      <c r="D33" s="9" t="s">
        <v>275</v>
      </c>
      <c r="E33" s="9" t="s">
        <v>225</v>
      </c>
      <c r="F33" s="9" t="s">
        <v>276</v>
      </c>
      <c r="G33" s="10" t="n">
        <v>-29.945</v>
      </c>
      <c r="H33" s="10" t="n">
        <v>30.955</v>
      </c>
      <c r="I33" s="9" t="s">
        <v>101</v>
      </c>
      <c r="J33" s="9" t="s">
        <v>277</v>
      </c>
      <c r="K33" s="9" t="s">
        <v>278</v>
      </c>
      <c r="L33" s="11" t="s">
        <v>46</v>
      </c>
      <c r="M33" s="9" t="s">
        <v>279</v>
      </c>
      <c r="N33" s="9" t="s">
        <v>273</v>
      </c>
      <c r="O33" s="12" t="s">
        <v>274</v>
      </c>
      <c r="P33" s="12" t="s">
        <v>280</v>
      </c>
    </row>
    <row r="34" customFormat="false" ht="15" hidden="false" customHeight="false" outlineLevel="0" collapsed="false">
      <c r="A34" s="9" t="n">
        <v>33</v>
      </c>
      <c r="B34" s="9" t="s">
        <v>7</v>
      </c>
      <c r="C34" s="9" t="s">
        <v>223</v>
      </c>
      <c r="D34" s="9" t="s">
        <v>281</v>
      </c>
      <c r="E34" s="9" t="s">
        <v>225</v>
      </c>
      <c r="F34" s="9" t="s">
        <v>282</v>
      </c>
      <c r="G34" s="10" t="n">
        <v>-29.94</v>
      </c>
      <c r="H34" s="10" t="n">
        <v>30.95</v>
      </c>
      <c r="I34" s="9" t="s">
        <v>55</v>
      </c>
      <c r="J34" s="9" t="s">
        <v>283</v>
      </c>
      <c r="K34" s="9" t="s">
        <v>271</v>
      </c>
      <c r="L34" s="11" t="s">
        <v>46</v>
      </c>
      <c r="M34" s="9" t="s">
        <v>284</v>
      </c>
      <c r="N34" s="9" t="s">
        <v>285</v>
      </c>
      <c r="O34" s="12" t="s">
        <v>286</v>
      </c>
      <c r="P34" s="9"/>
    </row>
    <row r="35" customFormat="false" ht="23.85" hidden="false" customHeight="false" outlineLevel="0" collapsed="false">
      <c r="A35" s="9" t="n">
        <v>34</v>
      </c>
      <c r="B35" s="9" t="s">
        <v>7</v>
      </c>
      <c r="C35" s="9" t="s">
        <v>223</v>
      </c>
      <c r="D35" s="9" t="s">
        <v>287</v>
      </c>
      <c r="E35" s="9" t="s">
        <v>225</v>
      </c>
      <c r="F35" s="9" t="s">
        <v>288</v>
      </c>
      <c r="G35" s="10" t="n">
        <v>-29.82</v>
      </c>
      <c r="H35" s="10" t="n">
        <v>30.98</v>
      </c>
      <c r="I35" s="9" t="s">
        <v>55</v>
      </c>
      <c r="J35" s="9" t="s">
        <v>289</v>
      </c>
      <c r="K35" s="9" t="s">
        <v>290</v>
      </c>
      <c r="L35" s="11" t="s">
        <v>291</v>
      </c>
      <c r="M35" s="9" t="s">
        <v>292</v>
      </c>
      <c r="N35" s="9" t="s">
        <v>293</v>
      </c>
      <c r="O35" s="12" t="s">
        <v>294</v>
      </c>
      <c r="P35" s="9"/>
    </row>
    <row r="36" customFormat="false" ht="23.85" hidden="false" customHeight="false" outlineLevel="0" collapsed="false">
      <c r="A36" s="9" t="n">
        <v>35</v>
      </c>
      <c r="B36" s="9" t="s">
        <v>7</v>
      </c>
      <c r="C36" s="9" t="s">
        <v>223</v>
      </c>
      <c r="D36" s="9" t="s">
        <v>295</v>
      </c>
      <c r="E36" s="9" t="s">
        <v>225</v>
      </c>
      <c r="F36" s="9" t="s">
        <v>296</v>
      </c>
      <c r="G36" s="10" t="n">
        <v>-29.68</v>
      </c>
      <c r="H36" s="10" t="n">
        <v>30.94</v>
      </c>
      <c r="I36" s="9" t="s">
        <v>101</v>
      </c>
      <c r="J36" s="9" t="s">
        <v>297</v>
      </c>
      <c r="K36" s="9" t="s">
        <v>298</v>
      </c>
      <c r="L36" s="11" t="s">
        <v>46</v>
      </c>
      <c r="M36" s="9" t="s">
        <v>299</v>
      </c>
      <c r="N36" s="9" t="s">
        <v>300</v>
      </c>
      <c r="O36" s="12" t="s">
        <v>301</v>
      </c>
      <c r="P36" s="9"/>
    </row>
    <row r="37" customFormat="false" ht="23.85" hidden="false" customHeight="false" outlineLevel="0" collapsed="false">
      <c r="A37" s="9" t="n">
        <v>36</v>
      </c>
      <c r="B37" s="9" t="s">
        <v>7</v>
      </c>
      <c r="C37" s="9" t="s">
        <v>223</v>
      </c>
      <c r="D37" s="9" t="s">
        <v>302</v>
      </c>
      <c r="E37" s="9" t="s">
        <v>225</v>
      </c>
      <c r="F37" s="9" t="s">
        <v>303</v>
      </c>
      <c r="G37" s="10" t="n">
        <v>-29.84</v>
      </c>
      <c r="H37" s="10" t="n">
        <v>30.98</v>
      </c>
      <c r="I37" s="9" t="s">
        <v>55</v>
      </c>
      <c r="J37" s="9" t="s">
        <v>304</v>
      </c>
      <c r="K37" s="9" t="s">
        <v>271</v>
      </c>
      <c r="L37" s="11" t="s">
        <v>305</v>
      </c>
      <c r="M37" s="9" t="s">
        <v>306</v>
      </c>
      <c r="N37" s="9" t="s">
        <v>285</v>
      </c>
      <c r="O37" s="12" t="s">
        <v>286</v>
      </c>
      <c r="P37" s="9"/>
    </row>
    <row r="38" customFormat="false" ht="23.85" hidden="false" customHeight="false" outlineLevel="0" collapsed="false">
      <c r="A38" s="9" t="n">
        <v>37</v>
      </c>
      <c r="B38" s="9" t="s">
        <v>7</v>
      </c>
      <c r="C38" s="9" t="s">
        <v>223</v>
      </c>
      <c r="D38" s="9" t="s">
        <v>307</v>
      </c>
      <c r="E38" s="9" t="s">
        <v>225</v>
      </c>
      <c r="F38" s="9" t="s">
        <v>308</v>
      </c>
      <c r="G38" s="10"/>
      <c r="H38" s="10"/>
      <c r="I38" s="9" t="s">
        <v>168</v>
      </c>
      <c r="J38" s="9" t="s">
        <v>304</v>
      </c>
      <c r="K38" s="9" t="s">
        <v>271</v>
      </c>
      <c r="L38" s="11" t="s">
        <v>305</v>
      </c>
      <c r="M38" s="9" t="s">
        <v>306</v>
      </c>
      <c r="N38" s="9" t="s">
        <v>285</v>
      </c>
      <c r="O38" s="12" t="s">
        <v>286</v>
      </c>
      <c r="P38" s="9"/>
    </row>
    <row r="39" customFormat="false" ht="15" hidden="false" customHeight="false" outlineLevel="0" collapsed="false">
      <c r="A39" s="9" t="n">
        <v>38</v>
      </c>
      <c r="B39" s="9" t="s">
        <v>7</v>
      </c>
      <c r="C39" s="9" t="s">
        <v>223</v>
      </c>
      <c r="D39" s="9" t="s">
        <v>309</v>
      </c>
      <c r="E39" s="9" t="s">
        <v>225</v>
      </c>
      <c r="F39" s="9" t="s">
        <v>310</v>
      </c>
      <c r="G39" s="10" t="n">
        <v>-29.77</v>
      </c>
      <c r="H39" s="10" t="n">
        <v>30.97</v>
      </c>
      <c r="I39" s="9" t="s">
        <v>101</v>
      </c>
      <c r="J39" s="9" t="s">
        <v>304</v>
      </c>
      <c r="K39" s="9" t="s">
        <v>271</v>
      </c>
      <c r="L39" s="13" t="s">
        <v>81</v>
      </c>
      <c r="M39" s="9" t="s">
        <v>311</v>
      </c>
      <c r="N39" s="9" t="s">
        <v>312</v>
      </c>
      <c r="O39" s="12" t="s">
        <v>313</v>
      </c>
      <c r="P39" s="9"/>
    </row>
    <row r="40" customFormat="false" ht="15" hidden="false" customHeight="false" outlineLevel="0" collapsed="false">
      <c r="A40" s="9" t="n">
        <v>39</v>
      </c>
      <c r="B40" s="9" t="s">
        <v>7</v>
      </c>
      <c r="C40" s="9" t="s">
        <v>223</v>
      </c>
      <c r="D40" s="9" t="s">
        <v>314</v>
      </c>
      <c r="E40" s="9" t="s">
        <v>225</v>
      </c>
      <c r="F40" s="9" t="s">
        <v>315</v>
      </c>
      <c r="G40" s="10" t="n">
        <v>-29.73</v>
      </c>
      <c r="H40" s="10" t="n">
        <v>30.97</v>
      </c>
      <c r="I40" s="9" t="s">
        <v>101</v>
      </c>
      <c r="J40" s="9" t="s">
        <v>304</v>
      </c>
      <c r="K40" s="9" t="s">
        <v>271</v>
      </c>
      <c r="L40" s="13" t="s">
        <v>81</v>
      </c>
      <c r="M40" s="9" t="s">
        <v>311</v>
      </c>
      <c r="N40" s="9" t="s">
        <v>312</v>
      </c>
      <c r="O40" s="12" t="s">
        <v>313</v>
      </c>
      <c r="P40" s="9"/>
    </row>
    <row r="41" customFormat="false" ht="15" hidden="false" customHeight="false" outlineLevel="0" collapsed="false">
      <c r="A41" s="9" t="n">
        <v>40</v>
      </c>
      <c r="B41" s="9" t="s">
        <v>7</v>
      </c>
      <c r="C41" s="9" t="s">
        <v>223</v>
      </c>
      <c r="D41" s="9" t="s">
        <v>316</v>
      </c>
      <c r="E41" s="9" t="s">
        <v>225</v>
      </c>
      <c r="F41" s="9" t="s">
        <v>317</v>
      </c>
      <c r="G41" s="10"/>
      <c r="H41" s="10"/>
      <c r="I41" s="9" t="s">
        <v>168</v>
      </c>
      <c r="J41" s="9" t="s">
        <v>304</v>
      </c>
      <c r="K41" s="9" t="s">
        <v>271</v>
      </c>
      <c r="L41" s="13" t="s">
        <v>81</v>
      </c>
      <c r="M41" s="9" t="s">
        <v>311</v>
      </c>
      <c r="N41" s="9" t="s">
        <v>312</v>
      </c>
      <c r="O41" s="12" t="s">
        <v>313</v>
      </c>
      <c r="P41" s="9"/>
    </row>
    <row r="42" customFormat="false" ht="15" hidden="false" customHeight="false" outlineLevel="0" collapsed="false">
      <c r="A42" s="9" t="n">
        <v>41</v>
      </c>
      <c r="B42" s="9" t="s">
        <v>7</v>
      </c>
      <c r="C42" s="9" t="s">
        <v>223</v>
      </c>
      <c r="D42" s="9" t="s">
        <v>318</v>
      </c>
      <c r="E42" s="9" t="s">
        <v>225</v>
      </c>
      <c r="F42" s="9" t="s">
        <v>319</v>
      </c>
      <c r="G42" s="10" t="n">
        <v>-29.57</v>
      </c>
      <c r="H42" s="10" t="n">
        <v>31.12</v>
      </c>
      <c r="I42" s="9" t="s">
        <v>101</v>
      </c>
      <c r="J42" s="9" t="s">
        <v>304</v>
      </c>
      <c r="K42" s="9" t="s">
        <v>271</v>
      </c>
      <c r="L42" s="13" t="s">
        <v>81</v>
      </c>
      <c r="M42" s="9" t="s">
        <v>311</v>
      </c>
      <c r="N42" s="9" t="s">
        <v>312</v>
      </c>
      <c r="O42" s="12" t="s">
        <v>313</v>
      </c>
      <c r="P42" s="9"/>
    </row>
    <row r="43" customFormat="false" ht="23.85" hidden="false" customHeight="false" outlineLevel="0" collapsed="false">
      <c r="A43" s="9" t="n">
        <v>42</v>
      </c>
      <c r="B43" s="9" t="s">
        <v>7</v>
      </c>
      <c r="C43" s="9" t="s">
        <v>223</v>
      </c>
      <c r="D43" s="9" t="s">
        <v>320</v>
      </c>
      <c r="E43" s="9" t="s">
        <v>321</v>
      </c>
      <c r="F43" s="9" t="s">
        <v>322</v>
      </c>
      <c r="G43" s="10" t="n">
        <v>-29.855</v>
      </c>
      <c r="H43" s="10" t="n">
        <v>31.02</v>
      </c>
      <c r="I43" s="9" t="s">
        <v>55</v>
      </c>
      <c r="J43" s="9" t="s">
        <v>323</v>
      </c>
      <c r="K43" s="9" t="s">
        <v>324</v>
      </c>
      <c r="L43" s="11" t="s">
        <v>325</v>
      </c>
      <c r="M43" s="9" t="s">
        <v>326</v>
      </c>
      <c r="N43" s="9" t="s">
        <v>327</v>
      </c>
      <c r="O43" s="12" t="s">
        <v>328</v>
      </c>
      <c r="P43" s="12" t="s">
        <v>329</v>
      </c>
    </row>
    <row r="44" customFormat="false" ht="23.85" hidden="false" customHeight="false" outlineLevel="0" collapsed="false">
      <c r="A44" s="9" t="n">
        <v>43</v>
      </c>
      <c r="B44" s="9" t="s">
        <v>7</v>
      </c>
      <c r="C44" s="9" t="s">
        <v>223</v>
      </c>
      <c r="D44" s="9" t="s">
        <v>330</v>
      </c>
      <c r="E44" s="9" t="s">
        <v>321</v>
      </c>
      <c r="F44" s="9" t="s">
        <v>331</v>
      </c>
      <c r="G44" s="10" t="n">
        <v>-29.83</v>
      </c>
      <c r="H44" s="10" t="n">
        <v>30.99</v>
      </c>
      <c r="I44" s="9" t="s">
        <v>55</v>
      </c>
      <c r="J44" s="9" t="s">
        <v>332</v>
      </c>
      <c r="K44" s="9" t="s">
        <v>271</v>
      </c>
      <c r="L44" s="11" t="s">
        <v>46</v>
      </c>
      <c r="M44" s="9" t="s">
        <v>333</v>
      </c>
      <c r="N44" s="9" t="s">
        <v>334</v>
      </c>
      <c r="O44" s="12" t="s">
        <v>335</v>
      </c>
      <c r="P44" s="9"/>
    </row>
    <row r="45" customFormat="false" ht="23.85" hidden="false" customHeight="false" outlineLevel="0" collapsed="false">
      <c r="A45" s="9" t="n">
        <v>44</v>
      </c>
      <c r="B45" s="9" t="s">
        <v>7</v>
      </c>
      <c r="C45" s="9" t="s">
        <v>223</v>
      </c>
      <c r="D45" s="9" t="s">
        <v>336</v>
      </c>
      <c r="E45" s="9" t="s">
        <v>321</v>
      </c>
      <c r="F45" s="9" t="s">
        <v>337</v>
      </c>
      <c r="G45" s="10"/>
      <c r="H45" s="10"/>
      <c r="I45" s="9" t="s">
        <v>168</v>
      </c>
      <c r="J45" s="9" t="s">
        <v>332</v>
      </c>
      <c r="K45" s="9" t="s">
        <v>338</v>
      </c>
      <c r="L45" s="11" t="s">
        <v>46</v>
      </c>
      <c r="M45" s="9" t="s">
        <v>339</v>
      </c>
      <c r="N45" s="9" t="s">
        <v>327</v>
      </c>
      <c r="O45" s="12" t="s">
        <v>328</v>
      </c>
      <c r="P45" s="9"/>
    </row>
    <row r="46" customFormat="false" ht="23.85" hidden="false" customHeight="false" outlineLevel="0" collapsed="false">
      <c r="A46" s="9" t="n">
        <v>45</v>
      </c>
      <c r="B46" s="9" t="s">
        <v>7</v>
      </c>
      <c r="C46" s="9" t="s">
        <v>223</v>
      </c>
      <c r="D46" s="9" t="s">
        <v>340</v>
      </c>
      <c r="E46" s="9" t="s">
        <v>321</v>
      </c>
      <c r="F46" s="9" t="s">
        <v>341</v>
      </c>
      <c r="G46" s="10" t="n">
        <v>-29.87</v>
      </c>
      <c r="H46" s="10" t="n">
        <v>30.89</v>
      </c>
      <c r="I46" s="9" t="s">
        <v>101</v>
      </c>
      <c r="J46" s="9" t="s">
        <v>342</v>
      </c>
      <c r="K46" s="9" t="s">
        <v>343</v>
      </c>
      <c r="L46" s="11" t="s">
        <v>46</v>
      </c>
      <c r="M46" s="9" t="s">
        <v>339</v>
      </c>
      <c r="N46" s="9" t="s">
        <v>327</v>
      </c>
      <c r="O46" s="12" t="s">
        <v>328</v>
      </c>
      <c r="P46" s="9"/>
    </row>
    <row r="47" customFormat="false" ht="23.85" hidden="false" customHeight="false" outlineLevel="0" collapsed="false">
      <c r="A47" s="9" t="n">
        <v>46</v>
      </c>
      <c r="B47" s="9" t="s">
        <v>7</v>
      </c>
      <c r="C47" s="9" t="s">
        <v>223</v>
      </c>
      <c r="D47" s="9" t="s">
        <v>344</v>
      </c>
      <c r="E47" s="9" t="s">
        <v>321</v>
      </c>
      <c r="F47" s="9" t="s">
        <v>345</v>
      </c>
      <c r="G47" s="10" t="n">
        <v>-29.8</v>
      </c>
      <c r="H47" s="10" t="n">
        <v>30.95</v>
      </c>
      <c r="I47" s="9" t="s">
        <v>55</v>
      </c>
      <c r="J47" s="9" t="s">
        <v>191</v>
      </c>
      <c r="K47" s="9" t="s">
        <v>271</v>
      </c>
      <c r="L47" s="14" t="s">
        <v>346</v>
      </c>
      <c r="M47" s="9" t="s">
        <v>347</v>
      </c>
      <c r="N47" s="9" t="s">
        <v>334</v>
      </c>
      <c r="O47" s="12" t="s">
        <v>335</v>
      </c>
      <c r="P47" s="9"/>
    </row>
    <row r="48" customFormat="false" ht="15" hidden="false" customHeight="false" outlineLevel="0" collapsed="false">
      <c r="A48" s="9" t="n">
        <v>47</v>
      </c>
      <c r="B48" s="9" t="s">
        <v>7</v>
      </c>
      <c r="C48" s="9" t="s">
        <v>223</v>
      </c>
      <c r="D48" s="9" t="s">
        <v>348</v>
      </c>
      <c r="E48" s="9" t="s">
        <v>349</v>
      </c>
      <c r="F48" s="9" t="s">
        <v>350</v>
      </c>
      <c r="G48" s="10" t="n">
        <v>-29.83</v>
      </c>
      <c r="H48" s="10" t="n">
        <v>30.8</v>
      </c>
      <c r="I48" s="9" t="s">
        <v>55</v>
      </c>
      <c r="J48" s="9" t="s">
        <v>342</v>
      </c>
      <c r="K48" s="9" t="s">
        <v>271</v>
      </c>
      <c r="L48" s="11" t="s">
        <v>46</v>
      </c>
      <c r="M48" s="9" t="s">
        <v>351</v>
      </c>
      <c r="N48" s="9" t="s">
        <v>334</v>
      </c>
      <c r="O48" s="12" t="s">
        <v>352</v>
      </c>
      <c r="P48" s="9"/>
    </row>
    <row r="49" customFormat="false" ht="15" hidden="false" customHeight="false" outlineLevel="0" collapsed="false">
      <c r="A49" s="9" t="n">
        <v>48</v>
      </c>
      <c r="B49" s="9" t="s">
        <v>7</v>
      </c>
      <c r="C49" s="9" t="s">
        <v>223</v>
      </c>
      <c r="D49" s="9" t="s">
        <v>353</v>
      </c>
      <c r="E49" s="9" t="s">
        <v>349</v>
      </c>
      <c r="F49" s="9" t="s">
        <v>256</v>
      </c>
      <c r="G49" s="10" t="n">
        <v>-29.72</v>
      </c>
      <c r="H49" s="10" t="n">
        <v>30.95</v>
      </c>
      <c r="I49" s="9" t="s">
        <v>55</v>
      </c>
      <c r="J49" s="9" t="s">
        <v>342</v>
      </c>
      <c r="K49" s="9" t="s">
        <v>271</v>
      </c>
      <c r="L49" s="11" t="s">
        <v>46</v>
      </c>
      <c r="M49" s="9" t="s">
        <v>351</v>
      </c>
      <c r="N49" s="9" t="s">
        <v>334</v>
      </c>
      <c r="O49" s="12" t="s">
        <v>352</v>
      </c>
      <c r="P49" s="9"/>
    </row>
    <row r="50" customFormat="false" ht="15" hidden="false" customHeight="false" outlineLevel="0" collapsed="false">
      <c r="A50" s="9" t="n">
        <v>49</v>
      </c>
      <c r="B50" s="9" t="s">
        <v>7</v>
      </c>
      <c r="C50" s="9" t="s">
        <v>223</v>
      </c>
      <c r="D50" s="9" t="s">
        <v>354</v>
      </c>
      <c r="E50" s="9" t="s">
        <v>349</v>
      </c>
      <c r="F50" s="9" t="s">
        <v>355</v>
      </c>
      <c r="G50" s="10" t="n">
        <v>-29.83</v>
      </c>
      <c r="H50" s="10" t="n">
        <v>30.87</v>
      </c>
      <c r="I50" s="9" t="s">
        <v>101</v>
      </c>
      <c r="J50" s="9" t="s">
        <v>342</v>
      </c>
      <c r="K50" s="9" t="s">
        <v>356</v>
      </c>
      <c r="L50" s="11" t="s">
        <v>46</v>
      </c>
      <c r="M50" s="9" t="s">
        <v>357</v>
      </c>
      <c r="N50" s="9" t="s">
        <v>358</v>
      </c>
      <c r="O50" s="12" t="s">
        <v>359</v>
      </c>
      <c r="P50" s="9"/>
    </row>
    <row r="51" customFormat="false" ht="15" hidden="false" customHeight="false" outlineLevel="0" collapsed="false">
      <c r="A51" s="9" t="n">
        <v>50</v>
      </c>
      <c r="B51" s="9" t="s">
        <v>7</v>
      </c>
      <c r="C51" s="9" t="s">
        <v>223</v>
      </c>
      <c r="D51" s="9" t="s">
        <v>360</v>
      </c>
      <c r="E51" s="9" t="s">
        <v>349</v>
      </c>
      <c r="F51" s="9" t="s">
        <v>361</v>
      </c>
      <c r="G51" s="10" t="n">
        <v>-29.815</v>
      </c>
      <c r="H51" s="10" t="n">
        <v>30.86</v>
      </c>
      <c r="I51" s="9" t="s">
        <v>55</v>
      </c>
      <c r="J51" s="9" t="s">
        <v>332</v>
      </c>
      <c r="K51" s="9" t="s">
        <v>271</v>
      </c>
      <c r="L51" s="13" t="s">
        <v>81</v>
      </c>
      <c r="M51" s="9" t="s">
        <v>362</v>
      </c>
      <c r="N51" s="9" t="s">
        <v>363</v>
      </c>
      <c r="O51" s="12" t="s">
        <v>329</v>
      </c>
      <c r="P51" s="9"/>
    </row>
    <row r="52" customFormat="false" ht="23.85" hidden="false" customHeight="false" outlineLevel="0" collapsed="false">
      <c r="A52" s="9" t="n">
        <v>51</v>
      </c>
      <c r="B52" s="9" t="s">
        <v>7</v>
      </c>
      <c r="C52" s="9" t="s">
        <v>223</v>
      </c>
      <c r="D52" s="9" t="s">
        <v>364</v>
      </c>
      <c r="E52" s="9" t="s">
        <v>349</v>
      </c>
      <c r="F52" s="9" t="s">
        <v>365</v>
      </c>
      <c r="G52" s="10" t="n">
        <v>-29.58</v>
      </c>
      <c r="H52" s="10" t="n">
        <v>31.13</v>
      </c>
      <c r="I52" s="9" t="s">
        <v>101</v>
      </c>
      <c r="J52" s="9" t="s">
        <v>323</v>
      </c>
      <c r="K52" s="9" t="s">
        <v>366</v>
      </c>
      <c r="L52" s="13" t="s">
        <v>81</v>
      </c>
      <c r="M52" s="9" t="s">
        <v>367</v>
      </c>
      <c r="N52" s="9" t="s">
        <v>368</v>
      </c>
      <c r="O52" s="12" t="s">
        <v>369</v>
      </c>
      <c r="P52" s="9"/>
    </row>
    <row r="53" customFormat="false" ht="35.05" hidden="false" customHeight="false" outlineLevel="0" collapsed="false">
      <c r="A53" s="9" t="n">
        <v>52</v>
      </c>
      <c r="B53" s="9" t="s">
        <v>7</v>
      </c>
      <c r="C53" s="9" t="s">
        <v>223</v>
      </c>
      <c r="D53" s="9" t="s">
        <v>370</v>
      </c>
      <c r="E53" s="9" t="s">
        <v>371</v>
      </c>
      <c r="F53" s="9" t="s">
        <v>372</v>
      </c>
      <c r="G53" s="10" t="n">
        <v>-29.92</v>
      </c>
      <c r="H53" s="10" t="n">
        <v>30.97</v>
      </c>
      <c r="I53" s="9" t="s">
        <v>55</v>
      </c>
      <c r="J53" s="9" t="s">
        <v>373</v>
      </c>
      <c r="K53" s="9" t="s">
        <v>374</v>
      </c>
      <c r="L53" s="11" t="s">
        <v>46</v>
      </c>
      <c r="M53" s="9" t="s">
        <v>375</v>
      </c>
      <c r="N53" s="9" t="s">
        <v>376</v>
      </c>
      <c r="O53" s="12" t="s">
        <v>377</v>
      </c>
      <c r="P53" s="12" t="s">
        <v>378</v>
      </c>
    </row>
    <row r="54" customFormat="false" ht="23.85" hidden="false" customHeight="false" outlineLevel="0" collapsed="false">
      <c r="A54" s="9" t="n">
        <v>53</v>
      </c>
      <c r="B54" s="9" t="s">
        <v>7</v>
      </c>
      <c r="C54" s="9" t="s">
        <v>223</v>
      </c>
      <c r="D54" s="9" t="s">
        <v>379</v>
      </c>
      <c r="E54" s="9" t="s">
        <v>380</v>
      </c>
      <c r="F54" s="9" t="s">
        <v>381</v>
      </c>
      <c r="G54" s="10" t="n">
        <v>-30.03</v>
      </c>
      <c r="H54" s="10" t="n">
        <v>30.8</v>
      </c>
      <c r="I54" s="9" t="s">
        <v>101</v>
      </c>
      <c r="J54" s="9" t="s">
        <v>342</v>
      </c>
      <c r="K54" s="9" t="s">
        <v>271</v>
      </c>
      <c r="L54" s="13" t="s">
        <v>81</v>
      </c>
      <c r="M54" s="9" t="s">
        <v>382</v>
      </c>
      <c r="N54" s="9" t="s">
        <v>383</v>
      </c>
      <c r="O54" s="12" t="s">
        <v>384</v>
      </c>
      <c r="P54" s="9"/>
    </row>
    <row r="55" customFormat="false" ht="23.85" hidden="false" customHeight="false" outlineLevel="0" collapsed="false">
      <c r="A55" s="9" t="n">
        <v>54</v>
      </c>
      <c r="B55" s="9" t="s">
        <v>7</v>
      </c>
      <c r="C55" s="9" t="s">
        <v>223</v>
      </c>
      <c r="D55" s="9" t="s">
        <v>385</v>
      </c>
      <c r="E55" s="9" t="s">
        <v>386</v>
      </c>
      <c r="F55" s="9" t="s">
        <v>387</v>
      </c>
      <c r="G55" s="10" t="n">
        <v>-29.87</v>
      </c>
      <c r="H55" s="10" t="n">
        <v>30.99</v>
      </c>
      <c r="I55" s="9" t="s">
        <v>101</v>
      </c>
      <c r="J55" s="9" t="s">
        <v>388</v>
      </c>
      <c r="K55" s="9" t="s">
        <v>389</v>
      </c>
      <c r="L55" s="13" t="s">
        <v>81</v>
      </c>
      <c r="M55" s="9" t="s">
        <v>390</v>
      </c>
      <c r="N55" s="9" t="s">
        <v>391</v>
      </c>
      <c r="O55" s="12" t="s">
        <v>392</v>
      </c>
      <c r="P55" s="9"/>
    </row>
    <row r="56" customFormat="false" ht="15" hidden="false" customHeight="false" outlineLevel="0" collapsed="false">
      <c r="A56" s="9" t="n">
        <v>55</v>
      </c>
      <c r="B56" s="9" t="s">
        <v>7</v>
      </c>
      <c r="C56" s="9" t="s">
        <v>223</v>
      </c>
      <c r="D56" s="9" t="s">
        <v>393</v>
      </c>
      <c r="E56" s="9" t="s">
        <v>394</v>
      </c>
      <c r="F56" s="9" t="s">
        <v>395</v>
      </c>
      <c r="G56" s="10" t="n">
        <v>-29.79</v>
      </c>
      <c r="H56" s="10" t="n">
        <v>30.73</v>
      </c>
      <c r="I56" s="9" t="s">
        <v>55</v>
      </c>
      <c r="J56" s="9" t="s">
        <v>396</v>
      </c>
      <c r="K56" s="9" t="s">
        <v>397</v>
      </c>
      <c r="L56" s="11" t="s">
        <v>46</v>
      </c>
      <c r="M56" s="9" t="s">
        <v>398</v>
      </c>
      <c r="N56" s="9" t="s">
        <v>399</v>
      </c>
      <c r="O56" s="12" t="s">
        <v>400</v>
      </c>
      <c r="P56" s="9"/>
    </row>
    <row r="57" customFormat="false" ht="15" hidden="false" customHeight="false" outlineLevel="0" collapsed="false">
      <c r="A57" s="9" t="n">
        <v>56</v>
      </c>
      <c r="B57" s="9" t="s">
        <v>7</v>
      </c>
      <c r="C57" s="9" t="s">
        <v>401</v>
      </c>
      <c r="D57" s="9" t="s">
        <v>402</v>
      </c>
      <c r="E57" s="9" t="s">
        <v>394</v>
      </c>
      <c r="F57" s="9" t="s">
        <v>403</v>
      </c>
      <c r="G57" s="10" t="n">
        <v>-29.34</v>
      </c>
      <c r="H57" s="10" t="n">
        <v>31.29</v>
      </c>
      <c r="I57" s="9" t="s">
        <v>55</v>
      </c>
      <c r="J57" s="9" t="s">
        <v>332</v>
      </c>
      <c r="K57" s="9" t="s">
        <v>404</v>
      </c>
      <c r="L57" s="13" t="s">
        <v>81</v>
      </c>
      <c r="M57" s="9" t="s">
        <v>405</v>
      </c>
      <c r="N57" s="9" t="s">
        <v>406</v>
      </c>
      <c r="O57" s="12" t="s">
        <v>407</v>
      </c>
      <c r="P57" s="9"/>
    </row>
    <row r="58" customFormat="false" ht="23.85" hidden="false" customHeight="false" outlineLevel="0" collapsed="false">
      <c r="A58" s="9" t="n">
        <v>57</v>
      </c>
      <c r="B58" s="9" t="s">
        <v>7</v>
      </c>
      <c r="C58" s="9" t="s">
        <v>408</v>
      </c>
      <c r="D58" s="9" t="s">
        <v>409</v>
      </c>
      <c r="E58" s="9" t="s">
        <v>410</v>
      </c>
      <c r="F58" s="9" t="s">
        <v>411</v>
      </c>
      <c r="G58" s="10"/>
      <c r="H58" s="10"/>
      <c r="I58" s="9" t="s">
        <v>168</v>
      </c>
      <c r="J58" s="9" t="s">
        <v>412</v>
      </c>
      <c r="K58" s="9" t="s">
        <v>413</v>
      </c>
      <c r="L58" s="11" t="s">
        <v>414</v>
      </c>
      <c r="M58" s="9" t="s">
        <v>415</v>
      </c>
      <c r="N58" s="9" t="s">
        <v>416</v>
      </c>
      <c r="O58" s="12" t="s">
        <v>417</v>
      </c>
      <c r="P58" s="9"/>
    </row>
    <row r="59" customFormat="false" ht="23.85" hidden="false" customHeight="false" outlineLevel="0" collapsed="false">
      <c r="A59" s="9" t="n">
        <v>58</v>
      </c>
      <c r="B59" s="9" t="s">
        <v>8</v>
      </c>
      <c r="C59" s="9" t="s">
        <v>418</v>
      </c>
      <c r="D59" s="9" t="s">
        <v>419</v>
      </c>
      <c r="E59" s="9" t="s">
        <v>420</v>
      </c>
      <c r="F59" s="9" t="s">
        <v>421</v>
      </c>
      <c r="G59" s="10" t="n">
        <v>-26.239</v>
      </c>
      <c r="H59" s="10" t="n">
        <v>28.047</v>
      </c>
      <c r="I59" s="9" t="s">
        <v>55</v>
      </c>
      <c r="J59" s="9" t="s">
        <v>422</v>
      </c>
      <c r="K59" s="9" t="s">
        <v>423</v>
      </c>
      <c r="L59" s="11" t="s">
        <v>46</v>
      </c>
      <c r="M59" s="9" t="s">
        <v>424</v>
      </c>
      <c r="N59" s="9" t="s">
        <v>425</v>
      </c>
      <c r="O59" s="12" t="s">
        <v>426</v>
      </c>
      <c r="P59" s="12" t="s">
        <v>427</v>
      </c>
    </row>
    <row r="60" customFormat="false" ht="23.85" hidden="false" customHeight="false" outlineLevel="0" collapsed="false">
      <c r="A60" s="9" t="n">
        <v>59</v>
      </c>
      <c r="B60" s="9" t="s">
        <v>8</v>
      </c>
      <c r="C60" s="9" t="s">
        <v>418</v>
      </c>
      <c r="D60" s="9" t="s">
        <v>428</v>
      </c>
      <c r="E60" s="9" t="s">
        <v>41</v>
      </c>
      <c r="F60" s="9" t="s">
        <v>429</v>
      </c>
      <c r="G60" s="10" t="n">
        <v>-26.21</v>
      </c>
      <c r="H60" s="10" t="n">
        <v>28.115</v>
      </c>
      <c r="I60" s="9" t="s">
        <v>55</v>
      </c>
      <c r="J60" s="9" t="s">
        <v>141</v>
      </c>
      <c r="K60" s="9" t="s">
        <v>430</v>
      </c>
      <c r="L60" s="11" t="s">
        <v>46</v>
      </c>
      <c r="M60" s="9" t="s">
        <v>431</v>
      </c>
      <c r="N60" s="9" t="s">
        <v>432</v>
      </c>
      <c r="O60" s="12" t="s">
        <v>433</v>
      </c>
      <c r="P60" s="12" t="s">
        <v>434</v>
      </c>
    </row>
    <row r="61" customFormat="false" ht="23.85" hidden="false" customHeight="false" outlineLevel="0" collapsed="false">
      <c r="A61" s="9" t="n">
        <v>60</v>
      </c>
      <c r="B61" s="9" t="s">
        <v>8</v>
      </c>
      <c r="C61" s="9" t="s">
        <v>418</v>
      </c>
      <c r="D61" s="9" t="s">
        <v>435</v>
      </c>
      <c r="E61" s="9" t="s">
        <v>85</v>
      </c>
      <c r="F61" s="9" t="s">
        <v>436</v>
      </c>
      <c r="G61" s="10" t="n">
        <v>-26.087</v>
      </c>
      <c r="H61" s="10" t="n">
        <v>28.1</v>
      </c>
      <c r="I61" s="9" t="s">
        <v>55</v>
      </c>
      <c r="J61" s="9" t="s">
        <v>437</v>
      </c>
      <c r="K61" s="9" t="s">
        <v>438</v>
      </c>
      <c r="L61" s="13" t="s">
        <v>439</v>
      </c>
      <c r="M61" s="9" t="s">
        <v>440</v>
      </c>
      <c r="N61" s="9" t="s">
        <v>441</v>
      </c>
      <c r="O61" s="12" t="s">
        <v>442</v>
      </c>
      <c r="P61" s="12" t="s">
        <v>443</v>
      </c>
    </row>
    <row r="62" customFormat="false" ht="15" hidden="false" customHeight="false" outlineLevel="0" collapsed="false">
      <c r="A62" s="9" t="n">
        <v>61</v>
      </c>
      <c r="B62" s="9" t="s">
        <v>8</v>
      </c>
      <c r="C62" s="9" t="s">
        <v>418</v>
      </c>
      <c r="D62" s="9" t="s">
        <v>444</v>
      </c>
      <c r="E62" s="9" t="s">
        <v>41</v>
      </c>
      <c r="F62" s="9" t="s">
        <v>445</v>
      </c>
      <c r="G62" s="10" t="n">
        <v>-26.105</v>
      </c>
      <c r="H62" s="10" t="n">
        <v>28.1</v>
      </c>
      <c r="I62" s="9" t="s">
        <v>55</v>
      </c>
      <c r="J62" s="9" t="s">
        <v>446</v>
      </c>
      <c r="K62" s="9" t="s">
        <v>447</v>
      </c>
      <c r="L62" s="13" t="s">
        <v>81</v>
      </c>
      <c r="M62" s="9" t="s">
        <v>448</v>
      </c>
      <c r="N62" s="9" t="s">
        <v>441</v>
      </c>
      <c r="O62" s="12" t="s">
        <v>442</v>
      </c>
      <c r="P62" s="9"/>
    </row>
    <row r="63" customFormat="false" ht="15" hidden="false" customHeight="false" outlineLevel="0" collapsed="false">
      <c r="A63" s="9" t="n">
        <v>62</v>
      </c>
      <c r="B63" s="9" t="s">
        <v>8</v>
      </c>
      <c r="C63" s="9" t="s">
        <v>418</v>
      </c>
      <c r="D63" s="9" t="s">
        <v>449</v>
      </c>
      <c r="E63" s="9" t="s">
        <v>450</v>
      </c>
      <c r="F63" s="9" t="s">
        <v>451</v>
      </c>
      <c r="G63" s="10" t="n">
        <v>-25.93</v>
      </c>
      <c r="H63" s="10" t="n">
        <v>28.01</v>
      </c>
      <c r="I63" s="9" t="s">
        <v>101</v>
      </c>
      <c r="J63" s="9" t="s">
        <v>452</v>
      </c>
      <c r="K63" s="9" t="s">
        <v>453</v>
      </c>
      <c r="L63" s="13" t="s">
        <v>81</v>
      </c>
      <c r="M63" s="9" t="s">
        <v>454</v>
      </c>
      <c r="N63" s="9" t="s">
        <v>455</v>
      </c>
      <c r="O63" s="12" t="s">
        <v>456</v>
      </c>
      <c r="P63" s="9"/>
    </row>
    <row r="64" customFormat="false" ht="15" hidden="false" customHeight="false" outlineLevel="0" collapsed="false">
      <c r="A64" s="9" t="n">
        <v>63</v>
      </c>
      <c r="B64" s="9" t="s">
        <v>8</v>
      </c>
      <c r="C64" s="9" t="s">
        <v>418</v>
      </c>
      <c r="D64" s="9" t="s">
        <v>457</v>
      </c>
      <c r="E64" s="9" t="s">
        <v>450</v>
      </c>
      <c r="F64" s="9" t="s">
        <v>458</v>
      </c>
      <c r="G64" s="10" t="n">
        <v>-25.92</v>
      </c>
      <c r="H64" s="10" t="n">
        <v>27.99</v>
      </c>
      <c r="I64" s="9" t="s">
        <v>55</v>
      </c>
      <c r="J64" s="9" t="s">
        <v>452</v>
      </c>
      <c r="K64" s="9" t="s">
        <v>459</v>
      </c>
      <c r="L64" s="13" t="s">
        <v>81</v>
      </c>
      <c r="M64" s="9" t="s">
        <v>454</v>
      </c>
      <c r="N64" s="9" t="s">
        <v>452</v>
      </c>
      <c r="O64" s="12" t="s">
        <v>460</v>
      </c>
      <c r="P64" s="9"/>
    </row>
    <row r="65" customFormat="false" ht="15" hidden="false" customHeight="false" outlineLevel="0" collapsed="false">
      <c r="A65" s="9" t="n">
        <v>64</v>
      </c>
      <c r="B65" s="9" t="s">
        <v>8</v>
      </c>
      <c r="C65" s="9" t="s">
        <v>418</v>
      </c>
      <c r="D65" s="9" t="s">
        <v>461</v>
      </c>
      <c r="E65" s="9" t="s">
        <v>462</v>
      </c>
      <c r="F65" s="9" t="s">
        <v>463</v>
      </c>
      <c r="G65" s="10" t="n">
        <v>-26.03</v>
      </c>
      <c r="H65" s="10" t="n">
        <v>27.93</v>
      </c>
      <c r="I65" s="9" t="s">
        <v>55</v>
      </c>
      <c r="J65" s="9" t="s">
        <v>452</v>
      </c>
      <c r="K65" s="9" t="s">
        <v>464</v>
      </c>
      <c r="L65" s="13" t="s">
        <v>81</v>
      </c>
      <c r="M65" s="9" t="s">
        <v>465</v>
      </c>
      <c r="N65" s="9" t="s">
        <v>466</v>
      </c>
      <c r="O65" s="12" t="s">
        <v>467</v>
      </c>
      <c r="P65" s="9"/>
    </row>
    <row r="66" customFormat="false" ht="15" hidden="false" customHeight="false" outlineLevel="0" collapsed="false">
      <c r="A66" s="9" t="n">
        <v>65</v>
      </c>
      <c r="B66" s="9" t="s">
        <v>8</v>
      </c>
      <c r="C66" s="9" t="s">
        <v>418</v>
      </c>
      <c r="D66" s="9" t="s">
        <v>468</v>
      </c>
      <c r="E66" s="9" t="s">
        <v>450</v>
      </c>
      <c r="F66" s="9" t="s">
        <v>469</v>
      </c>
      <c r="G66" s="10" t="n">
        <v>-26.1</v>
      </c>
      <c r="H66" s="10" t="n">
        <v>27.9</v>
      </c>
      <c r="I66" s="9" t="s">
        <v>101</v>
      </c>
      <c r="J66" s="9" t="s">
        <v>452</v>
      </c>
      <c r="K66" s="9" t="s">
        <v>470</v>
      </c>
      <c r="L66" s="13" t="s">
        <v>81</v>
      </c>
      <c r="M66" s="9" t="s">
        <v>471</v>
      </c>
      <c r="N66" s="9" t="s">
        <v>452</v>
      </c>
      <c r="O66" s="12" t="s">
        <v>460</v>
      </c>
      <c r="P66" s="9"/>
    </row>
    <row r="67" customFormat="false" ht="15" hidden="false" customHeight="false" outlineLevel="0" collapsed="false">
      <c r="A67" s="9" t="n">
        <v>66</v>
      </c>
      <c r="B67" s="9" t="s">
        <v>8</v>
      </c>
      <c r="C67" s="9" t="s">
        <v>418</v>
      </c>
      <c r="D67" s="9" t="s">
        <v>472</v>
      </c>
      <c r="E67" s="9" t="s">
        <v>450</v>
      </c>
      <c r="F67" s="9" t="s">
        <v>473</v>
      </c>
      <c r="G67" s="10" t="n">
        <v>-26.1</v>
      </c>
      <c r="H67" s="10" t="n">
        <v>28.1</v>
      </c>
      <c r="I67" s="9" t="s">
        <v>101</v>
      </c>
      <c r="J67" s="9" t="s">
        <v>452</v>
      </c>
      <c r="K67" s="9" t="s">
        <v>474</v>
      </c>
      <c r="L67" s="13" t="s">
        <v>81</v>
      </c>
      <c r="M67" s="9" t="s">
        <v>471</v>
      </c>
      <c r="N67" s="9" t="s">
        <v>452</v>
      </c>
      <c r="O67" s="12" t="s">
        <v>460</v>
      </c>
      <c r="P67" s="9"/>
    </row>
    <row r="68" customFormat="false" ht="15" hidden="false" customHeight="false" outlineLevel="0" collapsed="false">
      <c r="A68" s="9" t="n">
        <v>67</v>
      </c>
      <c r="B68" s="9" t="s">
        <v>8</v>
      </c>
      <c r="C68" s="9" t="s">
        <v>475</v>
      </c>
      <c r="D68" s="9" t="s">
        <v>476</v>
      </c>
      <c r="E68" s="9" t="s">
        <v>477</v>
      </c>
      <c r="F68" s="9" t="s">
        <v>478</v>
      </c>
      <c r="G68" s="10" t="n">
        <v>-25.715</v>
      </c>
      <c r="H68" s="10" t="n">
        <v>28.335</v>
      </c>
      <c r="I68" s="9" t="s">
        <v>55</v>
      </c>
      <c r="J68" s="9" t="s">
        <v>479</v>
      </c>
      <c r="K68" s="9" t="s">
        <v>480</v>
      </c>
      <c r="L68" s="11" t="s">
        <v>46</v>
      </c>
      <c r="M68" s="9" t="s">
        <v>481</v>
      </c>
      <c r="N68" s="9" t="s">
        <v>482</v>
      </c>
      <c r="O68" s="12" t="s">
        <v>483</v>
      </c>
      <c r="P68" s="9"/>
    </row>
    <row r="69" customFormat="false" ht="15" hidden="false" customHeight="false" outlineLevel="0" collapsed="false">
      <c r="A69" s="9" t="n">
        <v>68</v>
      </c>
      <c r="B69" s="9" t="s">
        <v>8</v>
      </c>
      <c r="C69" s="9" t="s">
        <v>475</v>
      </c>
      <c r="D69" s="9" t="s">
        <v>484</v>
      </c>
      <c r="E69" s="9" t="s">
        <v>485</v>
      </c>
      <c r="F69" s="9" t="s">
        <v>486</v>
      </c>
      <c r="G69" s="10"/>
      <c r="H69" s="10"/>
      <c r="I69" s="9" t="s">
        <v>168</v>
      </c>
      <c r="J69" s="9" t="s">
        <v>479</v>
      </c>
      <c r="K69" s="9" t="s">
        <v>487</v>
      </c>
      <c r="L69" s="13" t="s">
        <v>81</v>
      </c>
      <c r="M69" s="9" t="s">
        <v>488</v>
      </c>
      <c r="N69" s="9" t="s">
        <v>489</v>
      </c>
      <c r="O69" s="12" t="s">
        <v>490</v>
      </c>
      <c r="P69" s="9"/>
    </row>
    <row r="70" customFormat="false" ht="23.85" hidden="false" customHeight="false" outlineLevel="0" collapsed="false">
      <c r="A70" s="9" t="n">
        <v>69</v>
      </c>
      <c r="B70" s="9" t="s">
        <v>8</v>
      </c>
      <c r="C70" s="9" t="s">
        <v>475</v>
      </c>
      <c r="D70" s="9" t="s">
        <v>491</v>
      </c>
      <c r="E70" s="9" t="s">
        <v>41</v>
      </c>
      <c r="F70" s="9" t="s">
        <v>492</v>
      </c>
      <c r="G70" s="10" t="n">
        <v>-25.735</v>
      </c>
      <c r="H70" s="10" t="n">
        <v>28.365</v>
      </c>
      <c r="I70" s="9" t="s">
        <v>55</v>
      </c>
      <c r="J70" s="9" t="s">
        <v>493</v>
      </c>
      <c r="K70" s="9" t="s">
        <v>494</v>
      </c>
      <c r="L70" s="11" t="s">
        <v>46</v>
      </c>
      <c r="M70" s="9" t="s">
        <v>495</v>
      </c>
      <c r="N70" s="9" t="s">
        <v>496</v>
      </c>
      <c r="O70" s="12" t="s">
        <v>497</v>
      </c>
      <c r="P70" s="12" t="s">
        <v>498</v>
      </c>
    </row>
    <row r="71" customFormat="false" ht="35.05" hidden="false" customHeight="false" outlineLevel="0" collapsed="false">
      <c r="A71" s="9" t="n">
        <v>70</v>
      </c>
      <c r="B71" s="9" t="s">
        <v>8</v>
      </c>
      <c r="C71" s="9" t="s">
        <v>499</v>
      </c>
      <c r="D71" s="9" t="s">
        <v>500</v>
      </c>
      <c r="E71" s="9" t="s">
        <v>501</v>
      </c>
      <c r="F71" s="9" t="s">
        <v>502</v>
      </c>
      <c r="G71" s="10" t="n">
        <v>-26.13</v>
      </c>
      <c r="H71" s="10" t="n">
        <v>28.36</v>
      </c>
      <c r="I71" s="9" t="s">
        <v>55</v>
      </c>
      <c r="J71" s="9" t="s">
        <v>503</v>
      </c>
      <c r="K71" s="9" t="s">
        <v>504</v>
      </c>
      <c r="L71" s="14" t="s">
        <v>505</v>
      </c>
      <c r="M71" s="9" t="s">
        <v>506</v>
      </c>
      <c r="N71" s="9" t="s">
        <v>507</v>
      </c>
      <c r="O71" s="12" t="s">
        <v>508</v>
      </c>
      <c r="P71" s="9"/>
    </row>
    <row r="72" customFormat="false" ht="15" hidden="false" customHeight="false" outlineLevel="0" collapsed="false">
      <c r="A72" s="9" t="n">
        <v>71</v>
      </c>
      <c r="B72" s="9" t="s">
        <v>8</v>
      </c>
      <c r="C72" s="9" t="s">
        <v>499</v>
      </c>
      <c r="D72" s="9" t="s">
        <v>509</v>
      </c>
      <c r="E72" s="9" t="s">
        <v>510</v>
      </c>
      <c r="F72" s="9" t="s">
        <v>511</v>
      </c>
      <c r="G72" s="10" t="n">
        <v>-26.005</v>
      </c>
      <c r="H72" s="10" t="n">
        <v>28.21</v>
      </c>
      <c r="I72" s="9" t="s">
        <v>55</v>
      </c>
      <c r="J72" s="9" t="s">
        <v>512</v>
      </c>
      <c r="K72" s="9" t="s">
        <v>513</v>
      </c>
      <c r="L72" s="11" t="s">
        <v>46</v>
      </c>
      <c r="M72" s="9" t="s">
        <v>514</v>
      </c>
      <c r="N72" s="9" t="s">
        <v>515</v>
      </c>
      <c r="O72" s="12" t="s">
        <v>516</v>
      </c>
      <c r="P72" s="9"/>
    </row>
    <row r="73" customFormat="false" ht="23.85" hidden="false" customHeight="false" outlineLevel="0" collapsed="false">
      <c r="A73" s="9" t="n">
        <v>72</v>
      </c>
      <c r="B73" s="9" t="s">
        <v>9</v>
      </c>
      <c r="C73" s="9" t="s">
        <v>517</v>
      </c>
      <c r="D73" s="9" t="s">
        <v>518</v>
      </c>
      <c r="E73" s="9" t="s">
        <v>485</v>
      </c>
      <c r="F73" s="9" t="s">
        <v>519</v>
      </c>
      <c r="G73" s="10" t="n">
        <v>-33.99</v>
      </c>
      <c r="H73" s="10" t="n">
        <v>25.55</v>
      </c>
      <c r="I73" s="9" t="s">
        <v>55</v>
      </c>
      <c r="J73" s="9" t="s">
        <v>133</v>
      </c>
      <c r="K73" s="9" t="s">
        <v>520</v>
      </c>
      <c r="L73" s="11" t="s">
        <v>521</v>
      </c>
      <c r="M73" s="9" t="s">
        <v>522</v>
      </c>
      <c r="N73" s="9" t="s">
        <v>523</v>
      </c>
      <c r="O73" s="12" t="s">
        <v>524</v>
      </c>
      <c r="P73" s="12" t="s">
        <v>525</v>
      </c>
    </row>
    <row r="74" customFormat="false" ht="23.85" hidden="false" customHeight="false" outlineLevel="0" collapsed="false">
      <c r="A74" s="9" t="n">
        <v>73</v>
      </c>
      <c r="B74" s="9" t="s">
        <v>9</v>
      </c>
      <c r="C74" s="9" t="s">
        <v>517</v>
      </c>
      <c r="D74" s="9" t="s">
        <v>526</v>
      </c>
      <c r="E74" s="9" t="s">
        <v>527</v>
      </c>
      <c r="F74" s="9" t="s">
        <v>528</v>
      </c>
      <c r="G74" s="10" t="n">
        <v>-33.77</v>
      </c>
      <c r="H74" s="10" t="n">
        <v>25.4</v>
      </c>
      <c r="I74" s="9" t="s">
        <v>55</v>
      </c>
      <c r="J74" s="9" t="s">
        <v>529</v>
      </c>
      <c r="K74" s="9" t="s">
        <v>530</v>
      </c>
      <c r="L74" s="11" t="s">
        <v>46</v>
      </c>
      <c r="M74" s="9" t="s">
        <v>531</v>
      </c>
      <c r="N74" s="9" t="s">
        <v>532</v>
      </c>
      <c r="O74" s="12" t="s">
        <v>533</v>
      </c>
      <c r="P74" s="12" t="s">
        <v>534</v>
      </c>
    </row>
    <row r="75" customFormat="false" ht="15" hidden="false" customHeight="false" outlineLevel="0" collapsed="false">
      <c r="A75" s="9" t="n">
        <v>74</v>
      </c>
      <c r="B75" s="9" t="s">
        <v>9</v>
      </c>
      <c r="C75" s="9" t="s">
        <v>517</v>
      </c>
      <c r="D75" s="9" t="s">
        <v>535</v>
      </c>
      <c r="E75" s="9" t="s">
        <v>450</v>
      </c>
      <c r="F75" s="9" t="s">
        <v>536</v>
      </c>
      <c r="G75" s="10" t="n">
        <v>-33.8</v>
      </c>
      <c r="H75" s="10" t="n">
        <v>25.6</v>
      </c>
      <c r="I75" s="9" t="s">
        <v>55</v>
      </c>
      <c r="J75" s="9" t="s">
        <v>452</v>
      </c>
      <c r="K75" s="9" t="s">
        <v>537</v>
      </c>
      <c r="L75" s="14" t="s">
        <v>538</v>
      </c>
      <c r="M75" s="9" t="s">
        <v>539</v>
      </c>
      <c r="N75" s="9" t="s">
        <v>540</v>
      </c>
      <c r="O75" s="12" t="s">
        <v>541</v>
      </c>
      <c r="P75" s="12" t="s">
        <v>542</v>
      </c>
    </row>
    <row r="76" customFormat="false" ht="15" hidden="false" customHeight="false" outlineLevel="0" collapsed="false">
      <c r="A76" s="9" t="n">
        <v>75</v>
      </c>
      <c r="B76" s="9" t="s">
        <v>9</v>
      </c>
      <c r="C76" s="9" t="s">
        <v>517</v>
      </c>
      <c r="D76" s="9" t="s">
        <v>543</v>
      </c>
      <c r="E76" s="9" t="s">
        <v>450</v>
      </c>
      <c r="F76" s="9" t="s">
        <v>544</v>
      </c>
      <c r="G76" s="10" t="n">
        <v>-33.78</v>
      </c>
      <c r="H76" s="10" t="n">
        <v>25.37</v>
      </c>
      <c r="I76" s="9" t="s">
        <v>55</v>
      </c>
      <c r="J76" s="9" t="s">
        <v>452</v>
      </c>
      <c r="K76" s="9" t="s">
        <v>545</v>
      </c>
      <c r="L76" s="13" t="s">
        <v>81</v>
      </c>
      <c r="M76" s="9" t="s">
        <v>546</v>
      </c>
      <c r="N76" s="9" t="s">
        <v>547</v>
      </c>
      <c r="O76" s="12" t="s">
        <v>548</v>
      </c>
      <c r="P76" s="9"/>
    </row>
    <row r="77" customFormat="false" ht="15" hidden="false" customHeight="false" outlineLevel="0" collapsed="false">
      <c r="A77" s="9" t="n">
        <v>76</v>
      </c>
      <c r="B77" s="9" t="s">
        <v>9</v>
      </c>
      <c r="C77" s="9" t="s">
        <v>517</v>
      </c>
      <c r="D77" s="9" t="s">
        <v>549</v>
      </c>
      <c r="E77" s="9" t="s">
        <v>485</v>
      </c>
      <c r="F77" s="9" t="s">
        <v>550</v>
      </c>
      <c r="G77" s="10" t="n">
        <v>-33.76</v>
      </c>
      <c r="H77" s="10" t="n">
        <v>25.36</v>
      </c>
      <c r="I77" s="9" t="s">
        <v>55</v>
      </c>
      <c r="J77" s="9" t="s">
        <v>479</v>
      </c>
      <c r="K77" s="9" t="s">
        <v>551</v>
      </c>
      <c r="L77" s="13" t="s">
        <v>81</v>
      </c>
      <c r="M77" s="9" t="s">
        <v>552</v>
      </c>
      <c r="N77" s="9" t="s">
        <v>553</v>
      </c>
      <c r="O77" s="12" t="s">
        <v>554</v>
      </c>
      <c r="P77" s="9"/>
    </row>
    <row r="78" customFormat="false" ht="23.85" hidden="false" customHeight="false" outlineLevel="0" collapsed="false">
      <c r="A78" s="9" t="n">
        <v>77</v>
      </c>
      <c r="B78" s="9" t="s">
        <v>9</v>
      </c>
      <c r="C78" s="9" t="s">
        <v>555</v>
      </c>
      <c r="D78" s="9" t="s">
        <v>556</v>
      </c>
      <c r="E78" s="9" t="s">
        <v>557</v>
      </c>
      <c r="F78" s="9" t="s">
        <v>558</v>
      </c>
      <c r="G78" s="10" t="n">
        <v>-32.93</v>
      </c>
      <c r="H78" s="10" t="n">
        <v>27.72</v>
      </c>
      <c r="I78" s="9" t="s">
        <v>101</v>
      </c>
      <c r="J78" s="9" t="s">
        <v>559</v>
      </c>
      <c r="K78" s="9" t="s">
        <v>560</v>
      </c>
      <c r="L78" s="11" t="s">
        <v>46</v>
      </c>
      <c r="M78" s="9" t="s">
        <v>561</v>
      </c>
      <c r="N78" s="9" t="s">
        <v>562</v>
      </c>
      <c r="O78" s="12" t="s">
        <v>563</v>
      </c>
      <c r="P78" s="9"/>
    </row>
    <row r="79" customFormat="false" ht="23.85" hidden="false" customHeight="false" outlineLevel="0" collapsed="false">
      <c r="A79" s="9" t="n">
        <v>78</v>
      </c>
      <c r="B79" s="9" t="s">
        <v>9</v>
      </c>
      <c r="C79" s="9" t="s">
        <v>555</v>
      </c>
      <c r="D79" s="9" t="s">
        <v>564</v>
      </c>
      <c r="E79" s="9" t="s">
        <v>565</v>
      </c>
      <c r="F79" s="9" t="s">
        <v>566</v>
      </c>
      <c r="G79" s="10" t="n">
        <v>-32.97</v>
      </c>
      <c r="H79" s="10" t="n">
        <v>27.78</v>
      </c>
      <c r="I79" s="9" t="s">
        <v>101</v>
      </c>
      <c r="J79" s="9" t="s">
        <v>452</v>
      </c>
      <c r="K79" s="9" t="s">
        <v>567</v>
      </c>
      <c r="L79" s="13" t="s">
        <v>81</v>
      </c>
      <c r="M79" s="9" t="s">
        <v>568</v>
      </c>
      <c r="N79" s="9" t="s">
        <v>569</v>
      </c>
      <c r="O79" s="12" t="s">
        <v>570</v>
      </c>
      <c r="P79" s="9"/>
    </row>
    <row r="80" customFormat="false" ht="15" hidden="false" customHeight="false" outlineLevel="0" collapsed="false">
      <c r="A80" s="9" t="n">
        <v>79</v>
      </c>
      <c r="B80" s="9" t="s">
        <v>9</v>
      </c>
      <c r="C80" s="9" t="s">
        <v>555</v>
      </c>
      <c r="D80" s="9" t="s">
        <v>571</v>
      </c>
      <c r="E80" s="9" t="s">
        <v>572</v>
      </c>
      <c r="F80" s="9" t="s">
        <v>573</v>
      </c>
      <c r="G80" s="10" t="n">
        <v>-32.99</v>
      </c>
      <c r="H80" s="10" t="n">
        <v>27.87</v>
      </c>
      <c r="I80" s="9" t="s">
        <v>55</v>
      </c>
      <c r="J80" s="9" t="s">
        <v>574</v>
      </c>
      <c r="K80" s="9" t="s">
        <v>575</v>
      </c>
      <c r="L80" s="11" t="s">
        <v>46</v>
      </c>
      <c r="M80" s="9" t="s">
        <v>576</v>
      </c>
      <c r="N80" s="9" t="s">
        <v>577</v>
      </c>
      <c r="O80" s="12" t="s">
        <v>578</v>
      </c>
      <c r="P80" s="9"/>
    </row>
    <row r="81" customFormat="false" ht="23.85" hidden="false" customHeight="false" outlineLevel="0" collapsed="false">
      <c r="A81" s="9" t="n">
        <v>80</v>
      </c>
      <c r="B81" s="9" t="s">
        <v>9</v>
      </c>
      <c r="C81" s="9" t="s">
        <v>579</v>
      </c>
      <c r="D81" s="9" t="s">
        <v>580</v>
      </c>
      <c r="E81" s="9" t="s">
        <v>581</v>
      </c>
      <c r="F81" s="9" t="s">
        <v>582</v>
      </c>
      <c r="G81" s="10" t="n">
        <v>-31.61</v>
      </c>
      <c r="H81" s="10" t="n">
        <v>28.76</v>
      </c>
      <c r="I81" s="9" t="s">
        <v>101</v>
      </c>
      <c r="J81" s="9" t="s">
        <v>583</v>
      </c>
      <c r="K81" s="9" t="s">
        <v>584</v>
      </c>
      <c r="L81" s="11" t="s">
        <v>585</v>
      </c>
      <c r="M81" s="9" t="s">
        <v>586</v>
      </c>
      <c r="N81" s="9" t="s">
        <v>587</v>
      </c>
      <c r="O81" s="12" t="s">
        <v>588</v>
      </c>
      <c r="P81" s="12" t="s">
        <v>589</v>
      </c>
    </row>
    <row r="82" customFormat="false" ht="23.85" hidden="false" customHeight="false" outlineLevel="0" collapsed="false">
      <c r="A82" s="9" t="n">
        <v>81</v>
      </c>
      <c r="B82" s="9" t="s">
        <v>9</v>
      </c>
      <c r="C82" s="9" t="s">
        <v>579</v>
      </c>
      <c r="D82" s="9" t="s">
        <v>590</v>
      </c>
      <c r="E82" s="9" t="s">
        <v>591</v>
      </c>
      <c r="F82" s="9" t="s">
        <v>592</v>
      </c>
      <c r="G82" s="10" t="n">
        <v>-31.55</v>
      </c>
      <c r="H82" s="10" t="n">
        <v>28.74</v>
      </c>
      <c r="I82" s="9" t="s">
        <v>55</v>
      </c>
      <c r="J82" s="9" t="s">
        <v>593</v>
      </c>
      <c r="K82" s="9" t="s">
        <v>80</v>
      </c>
      <c r="L82" s="13" t="s">
        <v>81</v>
      </c>
      <c r="M82" s="9" t="s">
        <v>594</v>
      </c>
      <c r="N82" s="9" t="s">
        <v>595</v>
      </c>
      <c r="O82" s="12" t="s">
        <v>596</v>
      </c>
      <c r="P82" s="9"/>
    </row>
    <row r="83" customFormat="false" ht="15" hidden="false" customHeight="false" outlineLevel="0" collapsed="false">
      <c r="A83" s="9" t="n">
        <v>82</v>
      </c>
      <c r="B83" s="9" t="s">
        <v>9</v>
      </c>
      <c r="C83" s="9" t="s">
        <v>597</v>
      </c>
      <c r="D83" s="9" t="s">
        <v>598</v>
      </c>
      <c r="E83" s="9" t="s">
        <v>581</v>
      </c>
      <c r="F83" s="9" t="s">
        <v>599</v>
      </c>
      <c r="G83" s="10" t="n">
        <v>-32.33</v>
      </c>
      <c r="H83" s="10" t="n">
        <v>28.15</v>
      </c>
      <c r="I83" s="9" t="s">
        <v>55</v>
      </c>
      <c r="J83" s="9" t="s">
        <v>600</v>
      </c>
      <c r="K83" s="9" t="s">
        <v>601</v>
      </c>
      <c r="L83" s="11" t="s">
        <v>46</v>
      </c>
      <c r="M83" s="9" t="s">
        <v>602</v>
      </c>
      <c r="N83" s="9" t="s">
        <v>603</v>
      </c>
      <c r="O83" s="12" t="s">
        <v>589</v>
      </c>
      <c r="P83" s="12" t="s">
        <v>604</v>
      </c>
    </row>
    <row r="84" customFormat="false" ht="23.85" hidden="false" customHeight="false" outlineLevel="0" collapsed="false">
      <c r="A84" s="9" t="n">
        <v>83</v>
      </c>
      <c r="B84" s="9" t="s">
        <v>9</v>
      </c>
      <c r="C84" s="9" t="s">
        <v>605</v>
      </c>
      <c r="D84" s="9" t="s">
        <v>606</v>
      </c>
      <c r="E84" s="9" t="s">
        <v>607</v>
      </c>
      <c r="F84" s="9" t="s">
        <v>608</v>
      </c>
      <c r="G84" s="10" t="n">
        <v>-32.1</v>
      </c>
      <c r="H84" s="10" t="n">
        <v>28.3</v>
      </c>
      <c r="I84" s="9" t="s">
        <v>101</v>
      </c>
      <c r="J84" s="9" t="s">
        <v>609</v>
      </c>
      <c r="K84" s="9" t="s">
        <v>610</v>
      </c>
      <c r="L84" s="11" t="s">
        <v>46</v>
      </c>
      <c r="M84" s="9" t="s">
        <v>611</v>
      </c>
      <c r="N84" s="9" t="s">
        <v>612</v>
      </c>
      <c r="O84" s="12" t="s">
        <v>613</v>
      </c>
      <c r="P84" s="9"/>
    </row>
    <row r="85" customFormat="false" ht="15" hidden="false" customHeight="false" outlineLevel="0" collapsed="false">
      <c r="A85" s="9" t="n">
        <v>84</v>
      </c>
      <c r="B85" s="9" t="s">
        <v>9</v>
      </c>
      <c r="C85" s="9" t="s">
        <v>614</v>
      </c>
      <c r="D85" s="9" t="s">
        <v>615</v>
      </c>
      <c r="E85" s="9" t="s">
        <v>616</v>
      </c>
      <c r="F85" s="9" t="s">
        <v>617</v>
      </c>
      <c r="G85" s="10" t="n">
        <v>-33.3</v>
      </c>
      <c r="H85" s="10" t="n">
        <v>26.55</v>
      </c>
      <c r="I85" s="9" t="s">
        <v>101</v>
      </c>
      <c r="J85" s="9" t="s">
        <v>304</v>
      </c>
      <c r="K85" s="9" t="s">
        <v>80</v>
      </c>
      <c r="L85" s="11" t="s">
        <v>46</v>
      </c>
      <c r="M85" s="9" t="s">
        <v>618</v>
      </c>
      <c r="N85" s="9" t="s">
        <v>619</v>
      </c>
      <c r="O85" s="12" t="s">
        <v>620</v>
      </c>
      <c r="P85" s="9"/>
    </row>
  </sheetData>
  <hyperlinks>
    <hyperlink ref="O2" r:id="rId1" display="https://capeargus.co.za/news/2026-07-07-blikkiesdorp-19-years-of-unfulfilled-housing-promises-for-residents/"/>
    <hyperlink ref="P2" r:id="rId2" display="https://www.ewn.co.za/2025/03/10/blikkiesdorp-malawi-camp-freedom-farm-residents-excited-to-see-symphony-way-housing-project-resume"/>
    <hyperlink ref="O3" r:id="rId3" display="https://www.2oceansvibe.com/politics/mnqasela-tra5-housing-wait-july-2026/"/>
    <hyperlink ref="P3" r:id="rId4" display="https://www.wcpp.gov.za/?q=node/11843"/>
    <hyperlink ref="O4" r:id="rId5" display="https://iol.co.za/weekend-argus/news/2022-05-08-temporary-housing-rented-out-by-occupants-for-r1-000/"/>
    <hyperlink ref="P4" r:id="rId6" display="https://www.wcpp.gov.za/?q=node/11843"/>
    <hyperlink ref="O5" r:id="rId7" display="https://www.parliament.gov.za/storage/app/media/Pages/2025/12-09-2025_NCOP_Local_Government_Week/day1/2025-local-government-week-site-profiles-eersterivier-delft-and-mfuleni.pdf"/>
    <hyperlink ref="O6" r:id="rId8" display="https://www.wcpp.gov.za/?q=node/11843"/>
    <hyperlink ref="O7" r:id="rId9" display="https://groundup.org.za/article/families-moved-to-shipping-containers-by-city-23-years-ago-live-in-dire-conditions/"/>
    <hyperlink ref="O8" r:id="rId10" display="https://groundup.org.za/article/gugulethu-residents-lambast-citys-plan-for-them-to-share-land-with-observatory-occupiers/"/>
    <hyperlink ref="P8" r:id="rId11" display="https://groundup.org.za/article/families-living-in-temporary-housing-for-over-a-decade-say-city-of-cape-town-has-abandoned-them/"/>
    <hyperlink ref="O9" r:id="rId12" display="https://groundup.org.za/article/situation-even-worse-now-in-wolwerivier-say-residents/"/>
    <hyperlink ref="P9" r:id="rId13" display="https://www.dailymaverick.co.za/article/2024-01-24-wolwerivier-emergency-housing-camp-is-hell-on-earth-32km-from-heart-of-cape-town/"/>
    <hyperlink ref="O10" r:id="rId14" display="https://www.dailymaverick.co.za/article/2023-02-06-supreme-court-of-appeal-finds-cape-town-emergency-housing-programme-in-line-with-constitution/"/>
    <hyperlink ref="P10" r:id="rId15" display="https://mkeswell.github.io/UCT_SAHRC_input_original.pdf"/>
    <hyperlink ref="O11" r:id="rId16" display="https://groundup.org.za/article/temporary-relocation-of-more-than-880-families-from-railway-in-cape-town-completed/"/>
    <hyperlink ref="P11" r:id="rId17" display="https://www.dailymaverick.co.za/article/2024-02-28-scopa-grills-city-of-cape-town-on-relocation-of-prasas-central-line-occupiers/"/>
    <hyperlink ref="O12" r:id="rId18" display="https://mkeswell.github.io/UCT_SAHRC_input_original.pdf"/>
    <hyperlink ref="P12" r:id="rId19" display="https://groundup.org.za/article/mfuleni-residents-are-tired-of-seeing-the-city-relocate-residents-from-other-townships/"/>
    <hyperlink ref="O13" r:id="rId20" display="https://groundup.org.za/article/families-who-occupied-a-cape-town-community-hall-for-eight-years-have-finally-been-moved/"/>
    <hyperlink ref="P13" r:id="rId21" display="https://www.news24.com/mixed-emotions-among-bosasa-link-project-residents-as-they-settle-into-new-homes-20240808"/>
    <hyperlink ref="O14" r:id="rId22" display="https://novanews.co.za/cityvision/safer-houses-at-temporary-relocation-area-in-mfuleni-cape-town-welcomed-20231123/"/>
    <hyperlink ref="O15" r:id="rId23" display="https://www.dailymaverick.co.za/article/sewerage-maintenance-relocation-of-khayeelitsha-families-delayed-after-vandalism/"/>
    <hyperlink ref="P15" r:id="rId24" display="https://groundup.org.za/article/protesters-demand-city-of-cape-town-compensate-them-for-destroying-their-homes-and-damaging-their-belongings/"/>
    <hyperlink ref="O16" r:id="rId25" display="https://groundup.org.za/article/city-of-cape-town-moves-to-evict-refugees-living-at-two-emergency-housing-sites/"/>
    <hyperlink ref="O17" r:id="rId26" display="https://groundup.org.za/article/city-of-cape-town-moves-to-evict-refugees-living-at-two-emergency-housing-sites/"/>
    <hyperlink ref="O18" r:id="rId27" display="https://groundup.org.za/article/gugulethu-residents-lambast-citys-plan-for-them-to-share-land-with-observatory-occupiers/"/>
    <hyperlink ref="O19" r:id="rId28" display="https://groundup.org.za/article/two-years-survivors-imizamo-yethu-fire-crammed-disused-municipal-buildings/"/>
    <hyperlink ref="P19" r:id="rId29" display="https://www.sentinelnews.co.za/news/residents-move-onto-tra-site/"/>
    <hyperlink ref="O20" r:id="rId30" display="https://www.bcid.co.za/happy-valley-housing-development/"/>
    <hyperlink ref="O21" r:id="rId31" display="https://asla.co.za/project/temporary-relocation-area-tra/"/>
    <hyperlink ref="P21" r:id="rId32" display="https://mbuisp.org/homepage/project-overview/tra/"/>
    <hyperlink ref="O22" r:id="rId33" display="https://www.smfnews.org/protest-erupts-over-use-of-jamestown-as-a-relocation-area/"/>
    <hyperlink ref="O23" r:id="rId34" display="https://pmg.org.za/committee-meeting/39912/"/>
    <hyperlink ref="O24" r:id="rId35" display="https://www.researchgate.net/publication/351839856_An_Analysis_of_the_Watergang_Temporary_Relocation_Area_in_Kayamandi_Stellenbosch"/>
    <hyperlink ref="O25" r:id="rId36" display="https://www.thehda.co.za/knysna-khayalethu-bungalows-housing-intervention/"/>
    <hyperlink ref="O26" r:id="rId37" display="https://groundup.org.za/article/families-relocated-for-2010-world-cup-left-with-overflowing-toilets-flood-damaged-homes-and-broken-promises/"/>
    <hyperlink ref="O27" r:id="rId38" display="https://www.iol.co.za/dailynews/news/isipingo-transit-camp-residents-demand-answers-on-new-housing-allocation-plan-0297da16-8d67-46d8-b370-8348da2bd879"/>
    <hyperlink ref="P27" r:id="rId39" display="https://www.sanews.gov.za/south-africa/new-homes-isipingo-transit-camp-residents"/>
    <hyperlink ref="O28" r:id="rId40" display="https://groundup.org.za/article/transit-camp-homes-are-falling-apart-says-durban-residents/"/>
    <hyperlink ref="O29" r:id="rId41" display="https://groundup.org.za/article/living-conditions-at-amaoti-transit-camp-are-inhumane-and-getting-worse-say-residents/"/>
    <hyperlink ref="P29" r:id="rId42" display="https://www.dailymaverick.co.za/article/2023-04-04-residents-languish-in-inhumane-ethekwini-transit-camp-11-years-later/"/>
    <hyperlink ref="O30" r:id="rId43" display="https://groundup.org.za/article/families-have-been-waiting-six-years-to-be-moved-from-durban-transit-camp/"/>
    <hyperlink ref="O31" r:id="rId44" display="https://groundup.org.za/article/families-stuck-in-transit-camp-as-ethekwini-housing-project-remains-incomplete/"/>
    <hyperlink ref="O32" r:id="rId45" display="https://iol.co.za/dailynews/news/2024-06-10-no-power-for-the-forgotten-flood-victims/"/>
    <hyperlink ref="O33" r:id="rId46" display="https://iol.co.za/dailynews/news/2024-06-10-no-power-for-the-forgotten-flood-victims/"/>
    <hyperlink ref="P33" r:id="rId47" display="https://groundup.org.za/article/we-have-been-moved-from-one-place-to-another-says-durban-flood-victim/"/>
    <hyperlink ref="O34" r:id="rId48" display="https://iol.co.za/dailynews/news/2024-08-16-siboniso-dumas-grand-plan-to-fully-eradicate-transit-camps/"/>
    <hyperlink ref="O35" r:id="rId49" display="https://www.groundup.org.za/article/transit-camp-for-fire-victims-burns-down-in-durban/"/>
    <hyperlink ref="O36" r:id="rId50" display="https://allafrica.com/stories/202406110038.html"/>
    <hyperlink ref="O37" r:id="rId51" display="https://iol.co.za/dailynews/news/2024-08-16-siboniso-dumas-grand-plan-to-fully-eradicate-transit-camps/"/>
    <hyperlink ref="O38" r:id="rId52" display="https://iol.co.za/dailynews/news/2024-08-16-siboniso-dumas-grand-plan-to-fully-eradicate-transit-camps/"/>
    <hyperlink ref="O39" r:id="rId53" display="https://kznlegislature.gov.za/human-settlements-pc-visits-transit-camps/"/>
    <hyperlink ref="O40" r:id="rId54" display="https://kznlegislature.gov.za/human-settlements-pc-visits-transit-camps/"/>
    <hyperlink ref="O41" r:id="rId55" display="https://kznlegislature.gov.za/human-settlements-pc-visits-transit-camps/"/>
    <hyperlink ref="O42" r:id="rId56" display="https://kznlegislature.gov.za/human-settlements-pc-visits-transit-camps/"/>
    <hyperlink ref="O43" r:id="rId57" display="https://groundup.org.za/article/kzn-flood-victims-stuck-in-emergency-housing-three-years-later/"/>
    <hyperlink ref="P43" r:id="rId58" display="https://www.sanews.gov.za/south-africa/kzn-flood-victims-moved-decent-accommodation"/>
    <hyperlink ref="O44" r:id="rId59" display="https://iol.co.za/news/south-africa/kwazulu-natal/2026-05-18-durban-flood-victims-finally-receive-keys-to-new-homes-four-years-later/"/>
    <hyperlink ref="O45" r:id="rId60" display="https://groundup.org.za/article/kzn-flood-victims-stuck-in-emergency-housing-three-years-later/"/>
    <hyperlink ref="O46" r:id="rId61" display="https://groundup.org.za/article/kzn-flood-victims-stuck-in-emergency-housing-three-years-later/"/>
    <hyperlink ref="O47" r:id="rId62" display="https://iol.co.za/news/south-africa/kwazulu-natal/2026-05-18-durban-flood-victims-finally-receive-keys-to-new-homes-four-years-later/"/>
    <hyperlink ref="O48" r:id="rId63" display="https://witness.co.za/news/2026/05/18/4-000-flood-victims-housed-as-kzn-shifts-to-permanent-homes/"/>
    <hyperlink ref="O49" r:id="rId64" display="https://witness.co.za/news/2026/05/18/4-000-flood-victims-housed-as-kzn-shifts-to-permanent-homes/"/>
    <hyperlink ref="O50" r:id="rId65" display="https://kzn.da.org.za/2026/09/four-years-after-kzn-floods-families-remain-trapped-in-temporary-shelter"/>
    <hyperlink ref="O51" r:id="rId66" display="https://www.sanews.gov.za/south-africa/kzn-flood-victims-moved-decent-accommodation"/>
    <hyperlink ref="O52" r:id="rId67" display="https://www.parliament.gov.za/press-releases/media-statement-committee-flood-disaster-calls-ethekwini-municipality-find-permanent-accommodation-flood-victims"/>
    <hyperlink ref="O53" r:id="rId68" display="https://www.dailymaverick.co.za/article/2026-08-12-durban-flood-victims-left-on-pavement-as-court-rejects-housing-bid/"/>
    <hyperlink ref="P53" r:id="rId69" display="https://sahrc.org.za/index.php/sahrc-media/news-2/item/4503-media-statement-victory-for-human-rights-montclair-lodge-ready-for-occupancy-for-the-victims-of-flooding-following-sahrc-intervention"/>
    <hyperlink ref="O54" r:id="rId70" display="https://iol.co.za/news/south-africa/kwazulu-natal/2025-08-12-kwazulu-natal-to-close-emergency-accommodations-for-flood-victims-by-january-2027/"/>
    <hyperlink ref="O55" r:id="rId71" display="https://sundaytribune.co.za/news/2025-10-05-flood-victims-struggle-with-strict-rules-at-temporary-accommodation/"/>
    <hyperlink ref="O56" r:id="rId72" display="https://www.sabcnews.com/sabcnews/ethekwini-delivers-temporary-homes-to-flood-victims-in-ntshongweni/"/>
    <hyperlink ref="O57" r:id="rId73" display="https://www.sowetan.co.za/news/south-africa/2022-12-07-kwadukuza-municipality-moves-closer-to-housing-all-displaced-flood-victims/"/>
    <hyperlink ref="O58" r:id="rId74" display="https://pmg.org.za/tabled-committee-report/6010/"/>
    <hyperlink ref="O59" r:id="rId75" display="https://groundup.org.za/article/hundreds-stuck-for-years-in-joburgs-temporary-shelters/"/>
    <hyperlink ref="P59" r:id="rId76" display="https://www.dailymaverick.co.za/article/2022-02-28-from-bad-to-worse-foreign-nationals-evicted-from-johannesburg-inner-city-relocated-to-squalid-shelter/"/>
    <hyperlink ref="O60" r:id="rId77" display="https://www.dailymaverick.co.za/article/2025-10-07-two-years-after-usindiso-fire-survivors-struggle-in-crime-infested-temporary-housing/"/>
    <hyperlink ref="P60" r:id="rId78" display="https://www.timeslive.co.za/news/south-africa/2025-08-24-usindiso-fire-survivors-face-new-terror/"/>
    <hyperlink ref="O61" r:id="rId79" display="https://joburg.org.za/documents_/Documents/ANNEXURE_A-AND-B.pdf"/>
    <hyperlink ref="P61" r:id="rId80" display="https://www.citizen.co.za/news/south-africa/government/city-of-joburg-to-relocate-1600-residents-from-alexandra/"/>
    <hyperlink ref="O62" r:id="rId81" display="https://joburg.org.za/documents_/Documents/ANNEXURE_A-AND-B.pdf"/>
    <hyperlink ref="O63" r:id="rId82" display="https://www.citizen.co.za/fourways-review/356552/locals-to-be-relocated/"/>
    <hyperlink ref="O64" r:id="rId83" display="https://www.vukuzenzele.gov.za/government-urgently-addresses-overcrowding"/>
    <hyperlink ref="O65" r:id="rId84" display="https://www.citizen.co.za/roodepoort-record/2020/07/14/construction-of-tra-to-start-in-zandspruit/"/>
    <hyperlink ref="O66" r:id="rId85" display="https://www.vukuzenzele.gov.za/government-urgently-addresses-overcrowding"/>
    <hyperlink ref="O67" r:id="rId86" display="https://www.vukuzenzele.gov.za/government-urgently-addresses-overcrowding"/>
    <hyperlink ref="O68" r:id="rId87" display="https://www.citizen.co.za/rekord/news-headlines/local-news/2026/01/14/water-wastage-and-ageing-infrastructure-trouble-mamelodi-hostel-dwellers/"/>
    <hyperlink ref="O69" r:id="rId88" display="https://www.citizen.co.za/rekord/342964/flood-victims-finally-moved-to-safer-place/"/>
    <hyperlink ref="O70" r:id="rId89" display="https://www.citizen.co.za/rekord/news-headlines/local-news/2025/10/20/mamelodi-flood-victims-fear-being-forgotten-amid-relocation-delays/"/>
    <hyperlink ref="P70" r:id="rId90" display="https://groundup.org.za/article/flood-victims-relocated-by-the-city-to-land-in-mamelodi-are-being-threatened-by-local-residents/"/>
    <hyperlink ref="O71" r:id="rId91" display="https://www.dailymaverick.co.za/article/2026-06-15-judge-orders-return-of-n12-families-after-flagrant-rights-violations/"/>
    <hyperlink ref="O72" r:id="rId92" display="https://www.ekurhuleni.gov.za/press-releases/human-settlement/city-resettles-families-living-under-eskom-power-pylons-to-a-safer-settlement/"/>
    <hyperlink ref="O73" r:id="rId93" display="https://groundup.org.za/article/vandals-strip-temporary-housing-units-in-r42-million-gqeberha-project/"/>
    <hyperlink ref="P73" r:id="rId94" display="https://www.theherald.co.za/politics/2025-11-09-abandoned-structures-in-r36m-temporary-housing-project-stripped-by-vandals/"/>
    <hyperlink ref="O74" r:id="rId95" display="https://novanews.co.za/udexpress/temporary-housing-becomes-permanent-nightmare/"/>
    <hyperlink ref="P74" r:id="rId96" display="https://www.sanews.gov.za/south-africa/relocation-residents-nelson-mandela-bay-flood-prone-areas-progressing-well"/>
    <hyperlink ref="O75" r:id="rId97" display="https://groundup.org.za/article/from-leaky-bungalow-to-dream-home-wheelchair-users-6-year-wait-ends/"/>
    <hyperlink ref="P75" r:id="rId98" display="https://groundup.org.za/article/families-who-were-moved-into-temporary-shelters-during-covid-pandemic-are-still-waiting-for-their-houses/"/>
    <hyperlink ref="O76" r:id="rId99" display="https://groundup.org.za/article/kariega-shackdwellers-threaten-to-move-into-housing-project/"/>
    <hyperlink ref="O77" r:id="rId100" display="https://groundup.org.za/article/relocation-project-hold-two-communities-battle-municipality-over-housing-allocations/"/>
    <hyperlink ref="O78" r:id="rId101" display="https://www.dailydispatch.co.za/news/2026-01-12-residents-of-mtsotso-demand-action-on-temporary-shelter-conditions/"/>
    <hyperlink ref="O79" r:id="rId102" display="https://elitshanews.org.za/2020/07/16/duncan-village-residents-not-happy-with-relocation/"/>
    <hyperlink ref="O80" r:id="rId103" display="https://www.dailydispatch.co.za/news/2024-12-12-behind-the-news-a-personal-struggle-with-a-public-housing-fiasco/"/>
    <hyperlink ref="O81" r:id="rId104" display="https://www.dailydispatch.co.za/news/2026-07-21-grateful-flood-victims-get-temporary-homes-year-after-disaster/"/>
    <hyperlink ref="P81" r:id="rId105" display="https://www.gov.za/news/media-statements/eastern-cape-relocation-mthatha-flood-victims-26-aug-2025"/>
    <hyperlink ref="O82" r:id="rId106" display="https://www.dailymaverick.co.za/article/2022-02-23-mthatha-flood-victims-still-waiting-to-be-relocated-after-almost-a-decade/"/>
    <hyperlink ref="O83" r:id="rId107" display="https://www.gov.za/news/media-statements/eastern-cape-relocation-mthatha-flood-victims-26-aug-2025"/>
    <hyperlink ref="P83" r:id="rId108" display="https://www.enca.com/news/eastern-cape-flood-relocations-face-resistance-butterworth"/>
    <hyperlink ref="O84" r:id="rId109" display="https://allafrica.com/stories/202501270002.html"/>
    <hyperlink ref="O85" r:id="rId110" display="https://grocotts.ru.ac.za/2023/03/23/residents-of-extensions-nine-10-transit-camp-phumlani-and-enkanini-voice-discontent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45"/>
    <col collapsed="false" customWidth="true" hidden="false" outlineLevel="0" max="4" min="4" style="0" width="50"/>
    <col collapsed="false" customWidth="true" hidden="false" outlineLevel="0" max="5" min="5" style="0" width="22"/>
    <col collapsed="false" customWidth="true" hidden="false" outlineLevel="0" max="6" min="6" style="0" width="60"/>
  </cols>
  <sheetData>
    <row r="1" customFormat="false" ht="15" hidden="false" customHeight="false" outlineLevel="0" collapsed="false">
      <c r="A1" s="3" t="s">
        <v>2</v>
      </c>
      <c r="B1" s="3" t="s">
        <v>25</v>
      </c>
      <c r="C1" s="3" t="s">
        <v>621</v>
      </c>
      <c r="D1" s="3" t="s">
        <v>622</v>
      </c>
      <c r="E1" s="3" t="s">
        <v>34</v>
      </c>
      <c r="F1" s="3" t="s">
        <v>623</v>
      </c>
    </row>
    <row r="2" customFormat="false" ht="15" hidden="false" customHeight="false" outlineLevel="0" collapsed="false">
      <c r="A2" s="9" t="s">
        <v>6</v>
      </c>
      <c r="B2" s="9" t="s">
        <v>624</v>
      </c>
      <c r="C2" s="9" t="s">
        <v>625</v>
      </c>
      <c r="D2" s="9" t="s">
        <v>626</v>
      </c>
      <c r="E2" s="9" t="s">
        <v>627</v>
      </c>
      <c r="F2" s="12" t="s">
        <v>628</v>
      </c>
    </row>
    <row r="3" customFormat="false" ht="15" hidden="false" customHeight="false" outlineLevel="0" collapsed="false">
      <c r="A3" s="9" t="s">
        <v>6</v>
      </c>
      <c r="B3" s="9" t="s">
        <v>629</v>
      </c>
      <c r="C3" s="9" t="s">
        <v>630</v>
      </c>
      <c r="D3" s="9" t="s">
        <v>631</v>
      </c>
      <c r="E3" s="9" t="s">
        <v>632</v>
      </c>
      <c r="F3" s="12" t="s">
        <v>633</v>
      </c>
    </row>
    <row r="4" customFormat="false" ht="23.85" hidden="false" customHeight="false" outlineLevel="0" collapsed="false">
      <c r="A4" s="9" t="s">
        <v>7</v>
      </c>
      <c r="B4" s="9" t="s">
        <v>223</v>
      </c>
      <c r="C4" s="9" t="s">
        <v>634</v>
      </c>
      <c r="D4" s="9" t="s">
        <v>635</v>
      </c>
      <c r="E4" s="9" t="s">
        <v>636</v>
      </c>
      <c r="F4" s="12" t="s">
        <v>637</v>
      </c>
    </row>
    <row r="5" customFormat="false" ht="23.85" hidden="false" customHeight="false" outlineLevel="0" collapsed="false">
      <c r="A5" s="9" t="s">
        <v>7</v>
      </c>
      <c r="B5" s="9" t="s">
        <v>223</v>
      </c>
      <c r="C5" s="9" t="s">
        <v>638</v>
      </c>
      <c r="D5" s="9" t="s">
        <v>639</v>
      </c>
      <c r="E5" s="9" t="s">
        <v>636</v>
      </c>
      <c r="F5" s="12" t="s">
        <v>640</v>
      </c>
    </row>
    <row r="6" customFormat="false" ht="15" hidden="false" customHeight="false" outlineLevel="0" collapsed="false">
      <c r="A6" s="9" t="s">
        <v>7</v>
      </c>
      <c r="B6" s="9" t="s">
        <v>223</v>
      </c>
      <c r="C6" s="9" t="s">
        <v>641</v>
      </c>
      <c r="D6" s="9" t="s">
        <v>642</v>
      </c>
      <c r="E6" s="9" t="s">
        <v>636</v>
      </c>
      <c r="F6" s="12" t="s">
        <v>643</v>
      </c>
    </row>
    <row r="7" customFormat="false" ht="23.85" hidden="false" customHeight="false" outlineLevel="0" collapsed="false">
      <c r="A7" s="9" t="s">
        <v>7</v>
      </c>
      <c r="B7" s="9" t="s">
        <v>223</v>
      </c>
      <c r="C7" s="9" t="s">
        <v>644</v>
      </c>
      <c r="D7" s="9" t="s">
        <v>645</v>
      </c>
      <c r="E7" s="9" t="s">
        <v>646</v>
      </c>
      <c r="F7" s="12" t="s">
        <v>647</v>
      </c>
    </row>
    <row r="8" customFormat="false" ht="23.85" hidden="false" customHeight="false" outlineLevel="0" collapsed="false">
      <c r="A8" s="9" t="s">
        <v>7</v>
      </c>
      <c r="B8" s="9" t="s">
        <v>223</v>
      </c>
      <c r="C8" s="9" t="s">
        <v>648</v>
      </c>
      <c r="D8" s="9" t="s">
        <v>649</v>
      </c>
      <c r="E8" s="9" t="s">
        <v>636</v>
      </c>
      <c r="F8" s="12" t="s">
        <v>274</v>
      </c>
    </row>
    <row r="9" customFormat="false" ht="15" hidden="false" customHeight="false" outlineLevel="0" collapsed="false">
      <c r="A9" s="9" t="s">
        <v>8</v>
      </c>
      <c r="B9" s="9" t="s">
        <v>418</v>
      </c>
      <c r="C9" s="9" t="s">
        <v>650</v>
      </c>
      <c r="D9" s="9" t="s">
        <v>651</v>
      </c>
      <c r="E9" s="9" t="s">
        <v>636</v>
      </c>
      <c r="F9" s="12" t="s">
        <v>652</v>
      </c>
    </row>
    <row r="10" customFormat="false" ht="15" hidden="false" customHeight="false" outlineLevel="0" collapsed="false">
      <c r="A10" s="9" t="s">
        <v>8</v>
      </c>
      <c r="B10" s="9" t="s">
        <v>418</v>
      </c>
      <c r="C10" s="9" t="s">
        <v>653</v>
      </c>
      <c r="D10" s="9" t="s">
        <v>654</v>
      </c>
      <c r="E10" s="9" t="s">
        <v>636</v>
      </c>
      <c r="F10" s="12" t="s">
        <v>655</v>
      </c>
    </row>
    <row r="11" customFormat="false" ht="15" hidden="false" customHeight="false" outlineLevel="0" collapsed="false">
      <c r="A11" s="9" t="s">
        <v>8</v>
      </c>
      <c r="B11" s="9" t="s">
        <v>418</v>
      </c>
      <c r="C11" s="9" t="s">
        <v>656</v>
      </c>
      <c r="D11" s="9" t="s">
        <v>657</v>
      </c>
      <c r="E11" s="9" t="s">
        <v>627</v>
      </c>
      <c r="F11" s="12" t="s">
        <v>658</v>
      </c>
    </row>
    <row r="12" customFormat="false" ht="15" hidden="false" customHeight="false" outlineLevel="0" collapsed="false">
      <c r="A12" s="9" t="s">
        <v>8</v>
      </c>
      <c r="B12" s="9" t="s">
        <v>475</v>
      </c>
      <c r="C12" s="9" t="s">
        <v>659</v>
      </c>
      <c r="D12" s="9" t="s">
        <v>660</v>
      </c>
      <c r="E12" s="9" t="s">
        <v>661</v>
      </c>
      <c r="F12" s="12" t="s">
        <v>662</v>
      </c>
    </row>
    <row r="13" customFormat="false" ht="15" hidden="false" customHeight="false" outlineLevel="0" collapsed="false">
      <c r="A13" s="9" t="s">
        <v>9</v>
      </c>
      <c r="B13" s="9" t="s">
        <v>517</v>
      </c>
      <c r="C13" s="9" t="s">
        <v>663</v>
      </c>
      <c r="D13" s="9" t="s">
        <v>664</v>
      </c>
      <c r="E13" s="9" t="s">
        <v>636</v>
      </c>
      <c r="F13" s="12" t="s">
        <v>665</v>
      </c>
    </row>
    <row r="14" customFormat="false" ht="23.85" hidden="false" customHeight="false" outlineLevel="0" collapsed="false">
      <c r="A14" s="9" t="s">
        <v>10</v>
      </c>
      <c r="B14" s="9" t="s">
        <v>666</v>
      </c>
      <c r="C14" s="9" t="s">
        <v>667</v>
      </c>
      <c r="D14" s="9" t="s">
        <v>668</v>
      </c>
      <c r="E14" s="9" t="s">
        <v>669</v>
      </c>
      <c r="F14" s="12" t="s">
        <v>670</v>
      </c>
    </row>
    <row r="15" customFormat="false" ht="15" hidden="false" customHeight="false" outlineLevel="0" collapsed="false">
      <c r="A15" s="9" t="s">
        <v>14</v>
      </c>
      <c r="B15" s="9" t="s">
        <v>671</v>
      </c>
      <c r="C15" s="9" t="s">
        <v>672</v>
      </c>
      <c r="D15" s="9" t="s">
        <v>673</v>
      </c>
      <c r="E15" s="9" t="s">
        <v>669</v>
      </c>
      <c r="F15" s="12" t="s">
        <v>674</v>
      </c>
    </row>
  </sheetData>
  <hyperlinks>
    <hyperlink ref="F2" r:id="rId1" display="https://www.george.gov.za/update-on-uisp-project-thembalethu/"/>
    <hyperlink ref="F3" r:id="rId2" display="https://www.theherald.co.za/news/2026-03-26-bossiesgif-residents-march-to-bitou-municipal-offices-over-plan-to-move-them/"/>
    <hyperlink ref="F4" r:id="rId3" display="https://groundup.org.za/article/kzn-flood-victims-sleep-outside-after-eviction-from-temporary-accommodation/"/>
    <hyperlink ref="F5" r:id="rId4" display="https://witness.co.za/news/2025/07/10/durban-flood-victims-left-in-the-cold-after-hotel-eviction/"/>
    <hyperlink ref="F6" r:id="rId5" display="https://www.sanews.gov.za/south-africa/kzn-flood-victims-relocated-new-accommodation"/>
    <hyperlink ref="F7" r:id="rId6" display="https://www.iol.co.za/thepost/news/reservoir-hills-residents-oppose-ethekwini-municipalitys-plan-to-build-transit-camp-4a66aba6-ff06-4716-b843-427e5f471e4a"/>
    <hyperlink ref="F8" r:id="rId7" display="https://iol.co.za/dailynews/news/2024-06-10-no-power-for-the-forgotten-flood-victims/"/>
    <hyperlink ref="F9" r:id="rId8" display="https://www.dailymaverick.co.za/article/2024-10-03-joburg-housing-bid-to-provide-emergency-accommodation-highlights-crisis/"/>
    <hyperlink ref="F10" r:id="rId9" display="https://groundup.org.za/article/300-families-from-rabie-ridge-go-to-court-to-fight-their-eviction/"/>
    <hyperlink ref="F11" r:id="rId10" display="https://www.dailymaverick.co.za/article/2025-03-20-court-slams-city-of-johannesburg-for-failing-to-provide-temporary-shelter-to-evicted-residents/"/>
    <hyperlink ref="F12" r:id="rId11" display="https://www.citizen.co.za/news/south-africa/displaced-mamelodi-flood-victims-uncertain-what-future-holds/"/>
    <hyperlink ref="F13" r:id="rId12" display="https://groundup.org.za/article/kariega-flood-victims-forced-to-move-back-to-sodden-land/"/>
    <hyperlink ref="F14" r:id="rId13" display="https://www.ofm.co.za/article/centralsa/340523/lourier-park-mangaung-metro-presses-ahead-with-formalising-mountain-view-settlement"/>
    <hyperlink ref="F15" r:id="rId14" display="https://www.saflii.org/za/cases/ZAGPPHC/2025/925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2026-09-27T19:00:57Z</dcterms:created>
  <dc:creator>openpyxl</dc:creator>
  <dc:description/>
  <dc:language>en-US</dc:language>
  <cp:lastModifiedBy/>
  <dcterms:modified xsi:type="dcterms:W3CDTF">2026-09-27T19:00:57Z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